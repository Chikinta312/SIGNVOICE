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5be1e889179d8cd/Documentos/FABIAN/TRABAJO DE TESIS/REGISTRO GUANTE/REGISTRO GUANTE/PRUEBAS_DIR/RESUMEN/"/>
    </mc:Choice>
  </mc:AlternateContent>
  <xr:revisionPtr revIDLastSave="31" documentId="13_ncr:1_{F2C2C0E9-71F9-44FF-A2C7-880ADE434699}" xr6:coauthVersionLast="47" xr6:coauthVersionMax="47" xr10:uidLastSave="{8B9187A1-45A6-4CFE-9353-59263B29D887}"/>
  <bookViews>
    <workbookView xWindow="-120" yWindow="-120" windowWidth="20730" windowHeight="11040" tabRatio="500" activeTab="3" xr2:uid="{00000000-000D-0000-FFFF-FFFF00000000}"/>
  </bookViews>
  <sheets>
    <sheet name="Detalle" sheetId="3" r:id="rId1"/>
    <sheet name="Tabla_General" sheetId="4" r:id="rId2"/>
    <sheet name="Tabla_Por_Letra" sheetId="5" r:id="rId3"/>
    <sheet name="Metricas_Tesi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6" l="1"/>
  <c r="B12" i="6" s="1"/>
  <c r="B16" i="6" l="1"/>
  <c r="C16" i="6" s="1"/>
  <c r="D16" i="6"/>
  <c r="B10" i="6"/>
  <c r="D17" i="4"/>
  <c r="C13" i="4"/>
  <c r="K537" i="3"/>
  <c r="B6" i="6"/>
  <c r="D17" i="6"/>
  <c r="B17" i="6"/>
  <c r="I345" i="5"/>
  <c r="H345" i="5"/>
  <c r="G345" i="5"/>
  <c r="F345" i="5"/>
  <c r="E345" i="5"/>
  <c r="D345" i="5"/>
  <c r="C345" i="5"/>
  <c r="I344" i="5"/>
  <c r="H344" i="5"/>
  <c r="G344" i="5"/>
  <c r="F344" i="5"/>
  <c r="E344" i="5"/>
  <c r="D344" i="5"/>
  <c r="C344" i="5"/>
  <c r="I343" i="5"/>
  <c r="H343" i="5"/>
  <c r="G343" i="5"/>
  <c r="F343" i="5"/>
  <c r="E343" i="5"/>
  <c r="D343" i="5"/>
  <c r="C343" i="5"/>
  <c r="I342" i="5"/>
  <c r="H342" i="5"/>
  <c r="G342" i="5"/>
  <c r="F342" i="5"/>
  <c r="E342" i="5"/>
  <c r="D342" i="5"/>
  <c r="C342" i="5"/>
  <c r="I341" i="5"/>
  <c r="H341" i="5"/>
  <c r="G341" i="5"/>
  <c r="F341" i="5"/>
  <c r="E341" i="5"/>
  <c r="D341" i="5"/>
  <c r="C341" i="5"/>
  <c r="I340" i="5"/>
  <c r="H340" i="5"/>
  <c r="G340" i="5"/>
  <c r="F340" i="5"/>
  <c r="E340" i="5"/>
  <c r="D340" i="5"/>
  <c r="C340" i="5"/>
  <c r="I339" i="5"/>
  <c r="H339" i="5"/>
  <c r="G339" i="5"/>
  <c r="F339" i="5"/>
  <c r="E339" i="5"/>
  <c r="D339" i="5"/>
  <c r="C339" i="5"/>
  <c r="I338" i="5"/>
  <c r="H338" i="5"/>
  <c r="G338" i="5"/>
  <c r="F338" i="5"/>
  <c r="E338" i="5"/>
  <c r="D338" i="5"/>
  <c r="C338" i="5"/>
  <c r="I337" i="5"/>
  <c r="H337" i="5"/>
  <c r="G337" i="5"/>
  <c r="F337" i="5"/>
  <c r="E337" i="5"/>
  <c r="D337" i="5"/>
  <c r="C337" i="5"/>
  <c r="I336" i="5"/>
  <c r="H336" i="5"/>
  <c r="G336" i="5"/>
  <c r="F336" i="5"/>
  <c r="E336" i="5"/>
  <c r="D336" i="5"/>
  <c r="C336" i="5"/>
  <c r="I335" i="5"/>
  <c r="H335" i="5"/>
  <c r="G335" i="5"/>
  <c r="F335" i="5"/>
  <c r="E335" i="5"/>
  <c r="D335" i="5"/>
  <c r="C335" i="5"/>
  <c r="I334" i="5"/>
  <c r="H334" i="5"/>
  <c r="G334" i="5"/>
  <c r="F334" i="5"/>
  <c r="E334" i="5"/>
  <c r="D334" i="5"/>
  <c r="C334" i="5"/>
  <c r="I333" i="5"/>
  <c r="H333" i="5"/>
  <c r="G333" i="5"/>
  <c r="F333" i="5"/>
  <c r="E333" i="5"/>
  <c r="D333" i="5"/>
  <c r="C333" i="5"/>
  <c r="I332" i="5"/>
  <c r="H332" i="5"/>
  <c r="G332" i="5"/>
  <c r="F332" i="5"/>
  <c r="E332" i="5"/>
  <c r="D332" i="5"/>
  <c r="C332" i="5"/>
  <c r="I331" i="5"/>
  <c r="H331" i="5"/>
  <c r="G331" i="5"/>
  <c r="F331" i="5"/>
  <c r="E331" i="5"/>
  <c r="D331" i="5"/>
  <c r="C331" i="5"/>
  <c r="I330" i="5"/>
  <c r="H330" i="5"/>
  <c r="G330" i="5"/>
  <c r="F330" i="5"/>
  <c r="E330" i="5"/>
  <c r="D330" i="5"/>
  <c r="C330" i="5"/>
  <c r="I329" i="5"/>
  <c r="H329" i="5"/>
  <c r="G329" i="5"/>
  <c r="F329" i="5"/>
  <c r="E329" i="5"/>
  <c r="D329" i="5"/>
  <c r="C329" i="5"/>
  <c r="I328" i="5"/>
  <c r="H328" i="5"/>
  <c r="G328" i="5"/>
  <c r="F328" i="5"/>
  <c r="E328" i="5"/>
  <c r="D328" i="5"/>
  <c r="C328" i="5"/>
  <c r="I327" i="5"/>
  <c r="H327" i="5"/>
  <c r="G327" i="5"/>
  <c r="F327" i="5"/>
  <c r="E327" i="5"/>
  <c r="D327" i="5"/>
  <c r="C327" i="5"/>
  <c r="I326" i="5"/>
  <c r="H326" i="5"/>
  <c r="G326" i="5"/>
  <c r="F326" i="5"/>
  <c r="E326" i="5"/>
  <c r="D326" i="5"/>
  <c r="C326" i="5"/>
  <c r="I325" i="5"/>
  <c r="H325" i="5"/>
  <c r="G325" i="5"/>
  <c r="F325" i="5"/>
  <c r="E325" i="5"/>
  <c r="D325" i="5"/>
  <c r="C325" i="5"/>
  <c r="I324" i="5"/>
  <c r="H324" i="5"/>
  <c r="G324" i="5"/>
  <c r="F324" i="5"/>
  <c r="E324" i="5"/>
  <c r="D324" i="5"/>
  <c r="C324" i="5"/>
  <c r="I323" i="5"/>
  <c r="H323" i="5"/>
  <c r="G323" i="5"/>
  <c r="F323" i="5"/>
  <c r="E323" i="5"/>
  <c r="D323" i="5"/>
  <c r="C323" i="5"/>
  <c r="I322" i="5"/>
  <c r="H322" i="5"/>
  <c r="G322" i="5"/>
  <c r="F322" i="5"/>
  <c r="E322" i="5"/>
  <c r="D322" i="5"/>
  <c r="C322" i="5"/>
  <c r="I321" i="5"/>
  <c r="H321" i="5"/>
  <c r="G321" i="5"/>
  <c r="F321" i="5"/>
  <c r="E321" i="5"/>
  <c r="D321" i="5"/>
  <c r="C321" i="5"/>
  <c r="I320" i="5"/>
  <c r="H320" i="5"/>
  <c r="G320" i="5"/>
  <c r="F320" i="5"/>
  <c r="E320" i="5"/>
  <c r="D320" i="5"/>
  <c r="C320" i="5"/>
  <c r="I319" i="5"/>
  <c r="H319" i="5"/>
  <c r="G319" i="5"/>
  <c r="F319" i="5"/>
  <c r="E319" i="5"/>
  <c r="D319" i="5"/>
  <c r="C319" i="5"/>
  <c r="I318" i="5"/>
  <c r="H318" i="5"/>
  <c r="G318" i="5"/>
  <c r="F318" i="5"/>
  <c r="E318" i="5"/>
  <c r="D318" i="5"/>
  <c r="C318" i="5"/>
  <c r="I317" i="5"/>
  <c r="H317" i="5"/>
  <c r="G317" i="5"/>
  <c r="F317" i="5"/>
  <c r="E317" i="5"/>
  <c r="D317" i="5"/>
  <c r="C317" i="5"/>
  <c r="I316" i="5"/>
  <c r="H316" i="5"/>
  <c r="G316" i="5"/>
  <c r="F316" i="5"/>
  <c r="E316" i="5"/>
  <c r="D316" i="5"/>
  <c r="C316" i="5"/>
  <c r="I315" i="5"/>
  <c r="H315" i="5"/>
  <c r="G315" i="5"/>
  <c r="F315" i="5"/>
  <c r="E315" i="5"/>
  <c r="D315" i="5"/>
  <c r="C315" i="5"/>
  <c r="I314" i="5"/>
  <c r="H314" i="5"/>
  <c r="G314" i="5"/>
  <c r="F314" i="5"/>
  <c r="E314" i="5"/>
  <c r="D314" i="5"/>
  <c r="C314" i="5"/>
  <c r="I313" i="5"/>
  <c r="H313" i="5"/>
  <c r="G313" i="5"/>
  <c r="F313" i="5"/>
  <c r="E313" i="5"/>
  <c r="D313" i="5"/>
  <c r="C313" i="5"/>
  <c r="I312" i="5"/>
  <c r="H312" i="5"/>
  <c r="G312" i="5"/>
  <c r="F312" i="5"/>
  <c r="E312" i="5"/>
  <c r="D312" i="5"/>
  <c r="C312" i="5"/>
  <c r="I311" i="5"/>
  <c r="H311" i="5"/>
  <c r="G311" i="5"/>
  <c r="F311" i="5"/>
  <c r="E311" i="5"/>
  <c r="D311" i="5"/>
  <c r="C311" i="5"/>
  <c r="I310" i="5"/>
  <c r="H310" i="5"/>
  <c r="G310" i="5"/>
  <c r="F310" i="5"/>
  <c r="E310" i="5"/>
  <c r="D310" i="5"/>
  <c r="C310" i="5"/>
  <c r="I309" i="5"/>
  <c r="H309" i="5"/>
  <c r="G309" i="5"/>
  <c r="F309" i="5"/>
  <c r="E309" i="5"/>
  <c r="D309" i="5"/>
  <c r="C309" i="5"/>
  <c r="I308" i="5"/>
  <c r="H308" i="5"/>
  <c r="G308" i="5"/>
  <c r="F308" i="5"/>
  <c r="E308" i="5"/>
  <c r="D308" i="5"/>
  <c r="C308" i="5"/>
  <c r="I307" i="5"/>
  <c r="H307" i="5"/>
  <c r="G307" i="5"/>
  <c r="F307" i="5"/>
  <c r="E307" i="5"/>
  <c r="D307" i="5"/>
  <c r="C307" i="5"/>
  <c r="I306" i="5"/>
  <c r="H306" i="5"/>
  <c r="G306" i="5"/>
  <c r="F306" i="5"/>
  <c r="E306" i="5"/>
  <c r="D306" i="5"/>
  <c r="C306" i="5"/>
  <c r="I305" i="5"/>
  <c r="H305" i="5"/>
  <c r="G305" i="5"/>
  <c r="F305" i="5"/>
  <c r="E305" i="5"/>
  <c r="D305" i="5"/>
  <c r="C305" i="5"/>
  <c r="I304" i="5"/>
  <c r="H304" i="5"/>
  <c r="G304" i="5"/>
  <c r="F304" i="5"/>
  <c r="E304" i="5"/>
  <c r="D304" i="5"/>
  <c r="C304" i="5"/>
  <c r="I303" i="5"/>
  <c r="H303" i="5"/>
  <c r="G303" i="5"/>
  <c r="F303" i="5"/>
  <c r="E303" i="5"/>
  <c r="D303" i="5"/>
  <c r="C303" i="5"/>
  <c r="I302" i="5"/>
  <c r="H302" i="5"/>
  <c r="G302" i="5"/>
  <c r="F302" i="5"/>
  <c r="E302" i="5"/>
  <c r="D302" i="5"/>
  <c r="C302" i="5"/>
  <c r="I301" i="5"/>
  <c r="H301" i="5"/>
  <c r="G301" i="5"/>
  <c r="F301" i="5"/>
  <c r="E301" i="5"/>
  <c r="D301" i="5"/>
  <c r="C301" i="5"/>
  <c r="I300" i="5"/>
  <c r="H300" i="5"/>
  <c r="G300" i="5"/>
  <c r="F300" i="5"/>
  <c r="E300" i="5"/>
  <c r="D300" i="5"/>
  <c r="C300" i="5"/>
  <c r="I299" i="5"/>
  <c r="H299" i="5"/>
  <c r="G299" i="5"/>
  <c r="F299" i="5"/>
  <c r="E299" i="5"/>
  <c r="D299" i="5"/>
  <c r="C299" i="5"/>
  <c r="I298" i="5"/>
  <c r="H298" i="5"/>
  <c r="G298" i="5"/>
  <c r="F298" i="5"/>
  <c r="E298" i="5"/>
  <c r="D298" i="5"/>
  <c r="C298" i="5"/>
  <c r="I297" i="5"/>
  <c r="H297" i="5"/>
  <c r="G297" i="5"/>
  <c r="F297" i="5"/>
  <c r="E297" i="5"/>
  <c r="D297" i="5"/>
  <c r="C297" i="5"/>
  <c r="I296" i="5"/>
  <c r="H296" i="5"/>
  <c r="G296" i="5"/>
  <c r="F296" i="5"/>
  <c r="E296" i="5"/>
  <c r="D296" i="5"/>
  <c r="C296" i="5"/>
  <c r="I295" i="5"/>
  <c r="H295" i="5"/>
  <c r="G295" i="5"/>
  <c r="F295" i="5"/>
  <c r="E295" i="5"/>
  <c r="D295" i="5"/>
  <c r="C295" i="5"/>
  <c r="I294" i="5"/>
  <c r="H294" i="5"/>
  <c r="G294" i="5"/>
  <c r="F294" i="5"/>
  <c r="E294" i="5"/>
  <c r="D294" i="5"/>
  <c r="C294" i="5"/>
  <c r="I293" i="5"/>
  <c r="H293" i="5"/>
  <c r="G293" i="5"/>
  <c r="F293" i="5"/>
  <c r="E293" i="5"/>
  <c r="D293" i="5"/>
  <c r="C293" i="5"/>
  <c r="I292" i="5"/>
  <c r="H292" i="5"/>
  <c r="G292" i="5"/>
  <c r="F292" i="5"/>
  <c r="E292" i="5"/>
  <c r="D292" i="5"/>
  <c r="C292" i="5"/>
  <c r="I291" i="5"/>
  <c r="H291" i="5"/>
  <c r="G291" i="5"/>
  <c r="F291" i="5"/>
  <c r="E291" i="5"/>
  <c r="D291" i="5"/>
  <c r="C291" i="5"/>
  <c r="I290" i="5"/>
  <c r="H290" i="5"/>
  <c r="G290" i="5"/>
  <c r="F290" i="5"/>
  <c r="E290" i="5"/>
  <c r="D290" i="5"/>
  <c r="C290" i="5"/>
  <c r="I289" i="5"/>
  <c r="H289" i="5"/>
  <c r="G289" i="5"/>
  <c r="F289" i="5"/>
  <c r="E289" i="5"/>
  <c r="D289" i="5"/>
  <c r="C289" i="5"/>
  <c r="I288" i="5"/>
  <c r="H288" i="5"/>
  <c r="G288" i="5"/>
  <c r="F288" i="5"/>
  <c r="E288" i="5"/>
  <c r="D288" i="5"/>
  <c r="C288" i="5"/>
  <c r="I287" i="5"/>
  <c r="H287" i="5"/>
  <c r="G287" i="5"/>
  <c r="F287" i="5"/>
  <c r="E287" i="5"/>
  <c r="D287" i="5"/>
  <c r="C287" i="5"/>
  <c r="I286" i="5"/>
  <c r="H286" i="5"/>
  <c r="G286" i="5"/>
  <c r="F286" i="5"/>
  <c r="E286" i="5"/>
  <c r="D286" i="5"/>
  <c r="C286" i="5"/>
  <c r="I285" i="5"/>
  <c r="H285" i="5"/>
  <c r="G285" i="5"/>
  <c r="F285" i="5"/>
  <c r="E285" i="5"/>
  <c r="D285" i="5"/>
  <c r="C285" i="5"/>
  <c r="I284" i="5"/>
  <c r="H284" i="5"/>
  <c r="G284" i="5"/>
  <c r="F284" i="5"/>
  <c r="E284" i="5"/>
  <c r="D284" i="5"/>
  <c r="C284" i="5"/>
  <c r="I283" i="5"/>
  <c r="H283" i="5"/>
  <c r="G283" i="5"/>
  <c r="F283" i="5"/>
  <c r="E283" i="5"/>
  <c r="D283" i="5"/>
  <c r="C283" i="5"/>
  <c r="I282" i="5"/>
  <c r="H282" i="5"/>
  <c r="G282" i="5"/>
  <c r="F282" i="5"/>
  <c r="E282" i="5"/>
  <c r="D282" i="5"/>
  <c r="C282" i="5"/>
  <c r="I281" i="5"/>
  <c r="H281" i="5"/>
  <c r="G281" i="5"/>
  <c r="F281" i="5"/>
  <c r="E281" i="5"/>
  <c r="D281" i="5"/>
  <c r="C281" i="5"/>
  <c r="I280" i="5"/>
  <c r="H280" i="5"/>
  <c r="G280" i="5"/>
  <c r="F280" i="5"/>
  <c r="E280" i="5"/>
  <c r="D280" i="5"/>
  <c r="C280" i="5"/>
  <c r="I279" i="5"/>
  <c r="H279" i="5"/>
  <c r="G279" i="5"/>
  <c r="F279" i="5"/>
  <c r="E279" i="5"/>
  <c r="D279" i="5"/>
  <c r="C279" i="5"/>
  <c r="I278" i="5"/>
  <c r="H278" i="5"/>
  <c r="G278" i="5"/>
  <c r="F278" i="5"/>
  <c r="E278" i="5"/>
  <c r="D278" i="5"/>
  <c r="C278" i="5"/>
  <c r="I277" i="5"/>
  <c r="H277" i="5"/>
  <c r="G277" i="5"/>
  <c r="F277" i="5"/>
  <c r="E277" i="5"/>
  <c r="D277" i="5"/>
  <c r="C277" i="5"/>
  <c r="I276" i="5"/>
  <c r="H276" i="5"/>
  <c r="G276" i="5"/>
  <c r="F276" i="5"/>
  <c r="E276" i="5"/>
  <c r="D276" i="5"/>
  <c r="C276" i="5"/>
  <c r="I275" i="5"/>
  <c r="H275" i="5"/>
  <c r="G275" i="5"/>
  <c r="F275" i="5"/>
  <c r="E275" i="5"/>
  <c r="D275" i="5"/>
  <c r="C275" i="5"/>
  <c r="I274" i="5"/>
  <c r="H274" i="5"/>
  <c r="G274" i="5"/>
  <c r="F274" i="5"/>
  <c r="E274" i="5"/>
  <c r="D274" i="5"/>
  <c r="C274" i="5"/>
  <c r="I273" i="5"/>
  <c r="H273" i="5"/>
  <c r="G273" i="5"/>
  <c r="F273" i="5"/>
  <c r="E273" i="5"/>
  <c r="D273" i="5"/>
  <c r="C273" i="5"/>
  <c r="I272" i="5"/>
  <c r="H272" i="5"/>
  <c r="G272" i="5"/>
  <c r="F272" i="5"/>
  <c r="E272" i="5"/>
  <c r="D272" i="5"/>
  <c r="C272" i="5"/>
  <c r="I271" i="5"/>
  <c r="H271" i="5"/>
  <c r="G271" i="5"/>
  <c r="F271" i="5"/>
  <c r="E271" i="5"/>
  <c r="D271" i="5"/>
  <c r="C271" i="5"/>
  <c r="I270" i="5"/>
  <c r="H270" i="5"/>
  <c r="G270" i="5"/>
  <c r="F270" i="5"/>
  <c r="E270" i="5"/>
  <c r="D270" i="5"/>
  <c r="C270" i="5"/>
  <c r="I269" i="5"/>
  <c r="H269" i="5"/>
  <c r="G269" i="5"/>
  <c r="F269" i="5"/>
  <c r="E269" i="5"/>
  <c r="D269" i="5"/>
  <c r="C269" i="5"/>
  <c r="I268" i="5"/>
  <c r="H268" i="5"/>
  <c r="G268" i="5"/>
  <c r="F268" i="5"/>
  <c r="E268" i="5"/>
  <c r="D268" i="5"/>
  <c r="C268" i="5"/>
  <c r="I267" i="5"/>
  <c r="H267" i="5"/>
  <c r="G267" i="5"/>
  <c r="F267" i="5"/>
  <c r="E267" i="5"/>
  <c r="D267" i="5"/>
  <c r="C267" i="5"/>
  <c r="I266" i="5"/>
  <c r="H266" i="5"/>
  <c r="G266" i="5"/>
  <c r="F266" i="5"/>
  <c r="E266" i="5"/>
  <c r="D266" i="5"/>
  <c r="C266" i="5"/>
  <c r="I265" i="5"/>
  <c r="H265" i="5"/>
  <c r="G265" i="5"/>
  <c r="F265" i="5"/>
  <c r="E265" i="5"/>
  <c r="D265" i="5"/>
  <c r="C265" i="5"/>
  <c r="I264" i="5"/>
  <c r="H264" i="5"/>
  <c r="G264" i="5"/>
  <c r="F264" i="5"/>
  <c r="E264" i="5"/>
  <c r="D264" i="5"/>
  <c r="C264" i="5"/>
  <c r="I263" i="5"/>
  <c r="H263" i="5"/>
  <c r="G263" i="5"/>
  <c r="F263" i="5"/>
  <c r="E263" i="5"/>
  <c r="D263" i="5"/>
  <c r="C263" i="5"/>
  <c r="I262" i="5"/>
  <c r="H262" i="5"/>
  <c r="G262" i="5"/>
  <c r="F262" i="5"/>
  <c r="E262" i="5"/>
  <c r="D262" i="5"/>
  <c r="C262" i="5"/>
  <c r="I261" i="5"/>
  <c r="H261" i="5"/>
  <c r="G261" i="5"/>
  <c r="F261" i="5"/>
  <c r="E261" i="5"/>
  <c r="D261" i="5"/>
  <c r="C261" i="5"/>
  <c r="I260" i="5"/>
  <c r="H260" i="5"/>
  <c r="G260" i="5"/>
  <c r="F260" i="5"/>
  <c r="E260" i="5"/>
  <c r="D260" i="5"/>
  <c r="C260" i="5"/>
  <c r="I259" i="5"/>
  <c r="H259" i="5"/>
  <c r="G259" i="5"/>
  <c r="F259" i="5"/>
  <c r="E259" i="5"/>
  <c r="D259" i="5"/>
  <c r="C259" i="5"/>
  <c r="I258" i="5"/>
  <c r="H258" i="5"/>
  <c r="G258" i="5"/>
  <c r="F258" i="5"/>
  <c r="E258" i="5"/>
  <c r="D258" i="5"/>
  <c r="C258" i="5"/>
  <c r="I257" i="5"/>
  <c r="H257" i="5"/>
  <c r="G257" i="5"/>
  <c r="F257" i="5"/>
  <c r="E257" i="5"/>
  <c r="D257" i="5"/>
  <c r="C257" i="5"/>
  <c r="I256" i="5"/>
  <c r="H256" i="5"/>
  <c r="G256" i="5"/>
  <c r="F256" i="5"/>
  <c r="E256" i="5"/>
  <c r="D256" i="5"/>
  <c r="C256" i="5"/>
  <c r="I255" i="5"/>
  <c r="H255" i="5"/>
  <c r="G255" i="5"/>
  <c r="F255" i="5"/>
  <c r="E255" i="5"/>
  <c r="D255" i="5"/>
  <c r="C255" i="5"/>
  <c r="I254" i="5"/>
  <c r="H254" i="5"/>
  <c r="G254" i="5"/>
  <c r="F254" i="5"/>
  <c r="E254" i="5"/>
  <c r="D254" i="5"/>
  <c r="C254" i="5"/>
  <c r="I253" i="5"/>
  <c r="H253" i="5"/>
  <c r="G253" i="5"/>
  <c r="F253" i="5"/>
  <c r="E253" i="5"/>
  <c r="D253" i="5"/>
  <c r="C253" i="5"/>
  <c r="I252" i="5"/>
  <c r="H252" i="5"/>
  <c r="G252" i="5"/>
  <c r="F252" i="5"/>
  <c r="E252" i="5"/>
  <c r="D252" i="5"/>
  <c r="C252" i="5"/>
  <c r="I251" i="5"/>
  <c r="H251" i="5"/>
  <c r="G251" i="5"/>
  <c r="F251" i="5"/>
  <c r="E251" i="5"/>
  <c r="D251" i="5"/>
  <c r="C251" i="5"/>
  <c r="I250" i="5"/>
  <c r="H250" i="5"/>
  <c r="G250" i="5"/>
  <c r="F250" i="5"/>
  <c r="E250" i="5"/>
  <c r="D250" i="5"/>
  <c r="C250" i="5"/>
  <c r="I249" i="5"/>
  <c r="H249" i="5"/>
  <c r="G249" i="5"/>
  <c r="F249" i="5"/>
  <c r="E249" i="5"/>
  <c r="D249" i="5"/>
  <c r="C249" i="5"/>
  <c r="I248" i="5"/>
  <c r="H248" i="5"/>
  <c r="G248" i="5"/>
  <c r="F248" i="5"/>
  <c r="E248" i="5"/>
  <c r="D248" i="5"/>
  <c r="C248" i="5"/>
  <c r="I247" i="5"/>
  <c r="H247" i="5"/>
  <c r="G247" i="5"/>
  <c r="F247" i="5"/>
  <c r="E247" i="5"/>
  <c r="D247" i="5"/>
  <c r="C247" i="5"/>
  <c r="I246" i="5"/>
  <c r="H246" i="5"/>
  <c r="G246" i="5"/>
  <c r="F246" i="5"/>
  <c r="E246" i="5"/>
  <c r="D246" i="5"/>
  <c r="C246" i="5"/>
  <c r="I245" i="5"/>
  <c r="H245" i="5"/>
  <c r="G245" i="5"/>
  <c r="F245" i="5"/>
  <c r="E245" i="5"/>
  <c r="D245" i="5"/>
  <c r="C245" i="5"/>
  <c r="I244" i="5"/>
  <c r="H244" i="5"/>
  <c r="G244" i="5"/>
  <c r="F244" i="5"/>
  <c r="E244" i="5"/>
  <c r="D244" i="5"/>
  <c r="C244" i="5"/>
  <c r="I243" i="5"/>
  <c r="H243" i="5"/>
  <c r="G243" i="5"/>
  <c r="F243" i="5"/>
  <c r="E243" i="5"/>
  <c r="D243" i="5"/>
  <c r="C243" i="5"/>
  <c r="I242" i="5"/>
  <c r="H242" i="5"/>
  <c r="G242" i="5"/>
  <c r="F242" i="5"/>
  <c r="E242" i="5"/>
  <c r="D242" i="5"/>
  <c r="C242" i="5"/>
  <c r="I241" i="5"/>
  <c r="H241" i="5"/>
  <c r="G241" i="5"/>
  <c r="F241" i="5"/>
  <c r="E241" i="5"/>
  <c r="D241" i="5"/>
  <c r="C241" i="5"/>
  <c r="I240" i="5"/>
  <c r="H240" i="5"/>
  <c r="G240" i="5"/>
  <c r="F240" i="5"/>
  <c r="E240" i="5"/>
  <c r="D240" i="5"/>
  <c r="C240" i="5"/>
  <c r="I239" i="5"/>
  <c r="H239" i="5"/>
  <c r="G239" i="5"/>
  <c r="F239" i="5"/>
  <c r="E239" i="5"/>
  <c r="D239" i="5"/>
  <c r="C239" i="5"/>
  <c r="I238" i="5"/>
  <c r="H238" i="5"/>
  <c r="G238" i="5"/>
  <c r="F238" i="5"/>
  <c r="E238" i="5"/>
  <c r="D238" i="5"/>
  <c r="C238" i="5"/>
  <c r="I237" i="5"/>
  <c r="H237" i="5"/>
  <c r="G237" i="5"/>
  <c r="F237" i="5"/>
  <c r="E237" i="5"/>
  <c r="D237" i="5"/>
  <c r="C237" i="5"/>
  <c r="I236" i="5"/>
  <c r="H236" i="5"/>
  <c r="G236" i="5"/>
  <c r="F236" i="5"/>
  <c r="E236" i="5"/>
  <c r="D236" i="5"/>
  <c r="C236" i="5"/>
  <c r="I235" i="5"/>
  <c r="H235" i="5"/>
  <c r="G235" i="5"/>
  <c r="F235" i="5"/>
  <c r="E235" i="5"/>
  <c r="D235" i="5"/>
  <c r="C235" i="5"/>
  <c r="I234" i="5"/>
  <c r="H234" i="5"/>
  <c r="G234" i="5"/>
  <c r="F234" i="5"/>
  <c r="E234" i="5"/>
  <c r="D234" i="5"/>
  <c r="C234" i="5"/>
  <c r="I233" i="5"/>
  <c r="H233" i="5"/>
  <c r="G233" i="5"/>
  <c r="F233" i="5"/>
  <c r="E233" i="5"/>
  <c r="D233" i="5"/>
  <c r="C233" i="5"/>
  <c r="I232" i="5"/>
  <c r="H232" i="5"/>
  <c r="G232" i="5"/>
  <c r="F232" i="5"/>
  <c r="E232" i="5"/>
  <c r="D232" i="5"/>
  <c r="C232" i="5"/>
  <c r="I231" i="5"/>
  <c r="H231" i="5"/>
  <c r="G231" i="5"/>
  <c r="F231" i="5"/>
  <c r="E231" i="5"/>
  <c r="D231" i="5"/>
  <c r="C231" i="5"/>
  <c r="I230" i="5"/>
  <c r="H230" i="5"/>
  <c r="G230" i="5"/>
  <c r="F230" i="5"/>
  <c r="E230" i="5"/>
  <c r="D230" i="5"/>
  <c r="C230" i="5"/>
  <c r="I229" i="5"/>
  <c r="H229" i="5"/>
  <c r="G229" i="5"/>
  <c r="F229" i="5"/>
  <c r="E229" i="5"/>
  <c r="D229" i="5"/>
  <c r="C229" i="5"/>
  <c r="I228" i="5"/>
  <c r="H228" i="5"/>
  <c r="G228" i="5"/>
  <c r="F228" i="5"/>
  <c r="E228" i="5"/>
  <c r="D228" i="5"/>
  <c r="C228" i="5"/>
  <c r="I227" i="5"/>
  <c r="H227" i="5"/>
  <c r="G227" i="5"/>
  <c r="F227" i="5"/>
  <c r="E227" i="5"/>
  <c r="D227" i="5"/>
  <c r="C227" i="5"/>
  <c r="I226" i="5"/>
  <c r="H226" i="5"/>
  <c r="G226" i="5"/>
  <c r="F226" i="5"/>
  <c r="E226" i="5"/>
  <c r="D226" i="5"/>
  <c r="C226" i="5"/>
  <c r="I225" i="5"/>
  <c r="H225" i="5"/>
  <c r="G225" i="5"/>
  <c r="F225" i="5"/>
  <c r="E225" i="5"/>
  <c r="D225" i="5"/>
  <c r="C225" i="5"/>
  <c r="I224" i="5"/>
  <c r="H224" i="5"/>
  <c r="G224" i="5"/>
  <c r="F224" i="5"/>
  <c r="E224" i="5"/>
  <c r="D224" i="5"/>
  <c r="C224" i="5"/>
  <c r="I223" i="5"/>
  <c r="H223" i="5"/>
  <c r="G223" i="5"/>
  <c r="F223" i="5"/>
  <c r="E223" i="5"/>
  <c r="D223" i="5"/>
  <c r="C223" i="5"/>
  <c r="I222" i="5"/>
  <c r="H222" i="5"/>
  <c r="G222" i="5"/>
  <c r="F222" i="5"/>
  <c r="E222" i="5"/>
  <c r="D222" i="5"/>
  <c r="C222" i="5"/>
  <c r="I221" i="5"/>
  <c r="H221" i="5"/>
  <c r="G221" i="5"/>
  <c r="F221" i="5"/>
  <c r="E221" i="5"/>
  <c r="D221" i="5"/>
  <c r="C221" i="5"/>
  <c r="I220" i="5"/>
  <c r="H220" i="5"/>
  <c r="G220" i="5"/>
  <c r="F220" i="5"/>
  <c r="E220" i="5"/>
  <c r="D220" i="5"/>
  <c r="C220" i="5"/>
  <c r="I219" i="5"/>
  <c r="H219" i="5"/>
  <c r="G219" i="5"/>
  <c r="F219" i="5"/>
  <c r="E219" i="5"/>
  <c r="D219" i="5"/>
  <c r="C219" i="5"/>
  <c r="I218" i="5"/>
  <c r="H218" i="5"/>
  <c r="G218" i="5"/>
  <c r="F218" i="5"/>
  <c r="E218" i="5"/>
  <c r="D218" i="5"/>
  <c r="C218" i="5"/>
  <c r="I217" i="5"/>
  <c r="H217" i="5"/>
  <c r="G217" i="5"/>
  <c r="F217" i="5"/>
  <c r="E217" i="5"/>
  <c r="D217" i="5"/>
  <c r="C217" i="5"/>
  <c r="I216" i="5"/>
  <c r="H216" i="5"/>
  <c r="G216" i="5"/>
  <c r="F216" i="5"/>
  <c r="E216" i="5"/>
  <c r="D216" i="5"/>
  <c r="C216" i="5"/>
  <c r="I215" i="5"/>
  <c r="H215" i="5"/>
  <c r="G215" i="5"/>
  <c r="F215" i="5"/>
  <c r="E215" i="5"/>
  <c r="D215" i="5"/>
  <c r="C215" i="5"/>
  <c r="I214" i="5"/>
  <c r="H214" i="5"/>
  <c r="G214" i="5"/>
  <c r="F214" i="5"/>
  <c r="E214" i="5"/>
  <c r="D214" i="5"/>
  <c r="C214" i="5"/>
  <c r="I213" i="5"/>
  <c r="H213" i="5"/>
  <c r="G213" i="5"/>
  <c r="F213" i="5"/>
  <c r="E213" i="5"/>
  <c r="D213" i="5"/>
  <c r="C213" i="5"/>
  <c r="I212" i="5"/>
  <c r="H212" i="5"/>
  <c r="G212" i="5"/>
  <c r="F212" i="5"/>
  <c r="E212" i="5"/>
  <c r="D212" i="5"/>
  <c r="C212" i="5"/>
  <c r="I211" i="5"/>
  <c r="H211" i="5"/>
  <c r="G211" i="5"/>
  <c r="F211" i="5"/>
  <c r="E211" i="5"/>
  <c r="D211" i="5"/>
  <c r="C211" i="5"/>
  <c r="I210" i="5"/>
  <c r="H210" i="5"/>
  <c r="G210" i="5"/>
  <c r="F210" i="5"/>
  <c r="E210" i="5"/>
  <c r="D210" i="5"/>
  <c r="C210" i="5"/>
  <c r="I209" i="5"/>
  <c r="H209" i="5"/>
  <c r="G209" i="5"/>
  <c r="F209" i="5"/>
  <c r="E209" i="5"/>
  <c r="D209" i="5"/>
  <c r="C209" i="5"/>
  <c r="I208" i="5"/>
  <c r="H208" i="5"/>
  <c r="G208" i="5"/>
  <c r="F208" i="5"/>
  <c r="E208" i="5"/>
  <c r="D208" i="5"/>
  <c r="C208" i="5"/>
  <c r="I207" i="5"/>
  <c r="H207" i="5"/>
  <c r="G207" i="5"/>
  <c r="F207" i="5"/>
  <c r="E207" i="5"/>
  <c r="D207" i="5"/>
  <c r="C207" i="5"/>
  <c r="I206" i="5"/>
  <c r="H206" i="5"/>
  <c r="G206" i="5"/>
  <c r="F206" i="5"/>
  <c r="E206" i="5"/>
  <c r="D206" i="5"/>
  <c r="C206" i="5"/>
  <c r="I205" i="5"/>
  <c r="H205" i="5"/>
  <c r="G205" i="5"/>
  <c r="F205" i="5"/>
  <c r="E205" i="5"/>
  <c r="D205" i="5"/>
  <c r="C205" i="5"/>
  <c r="I204" i="5"/>
  <c r="H204" i="5"/>
  <c r="G204" i="5"/>
  <c r="F204" i="5"/>
  <c r="E204" i="5"/>
  <c r="D204" i="5"/>
  <c r="C204" i="5"/>
  <c r="I203" i="5"/>
  <c r="H203" i="5"/>
  <c r="G203" i="5"/>
  <c r="F203" i="5"/>
  <c r="E203" i="5"/>
  <c r="D203" i="5"/>
  <c r="C203" i="5"/>
  <c r="I202" i="5"/>
  <c r="H202" i="5"/>
  <c r="G202" i="5"/>
  <c r="F202" i="5"/>
  <c r="E202" i="5"/>
  <c r="D202" i="5"/>
  <c r="C202" i="5"/>
  <c r="I201" i="5"/>
  <c r="H201" i="5"/>
  <c r="G201" i="5"/>
  <c r="F201" i="5"/>
  <c r="E201" i="5"/>
  <c r="D201" i="5"/>
  <c r="C201" i="5"/>
  <c r="I200" i="5"/>
  <c r="H200" i="5"/>
  <c r="G200" i="5"/>
  <c r="F200" i="5"/>
  <c r="E200" i="5"/>
  <c r="D200" i="5"/>
  <c r="C200" i="5"/>
  <c r="I199" i="5"/>
  <c r="H199" i="5"/>
  <c r="G199" i="5"/>
  <c r="F199" i="5"/>
  <c r="E199" i="5"/>
  <c r="D199" i="5"/>
  <c r="C199" i="5"/>
  <c r="I198" i="5"/>
  <c r="H198" i="5"/>
  <c r="G198" i="5"/>
  <c r="F198" i="5"/>
  <c r="E198" i="5"/>
  <c r="D198" i="5"/>
  <c r="C198" i="5"/>
  <c r="I197" i="5"/>
  <c r="H197" i="5"/>
  <c r="G197" i="5"/>
  <c r="F197" i="5"/>
  <c r="E197" i="5"/>
  <c r="D197" i="5"/>
  <c r="C197" i="5"/>
  <c r="I196" i="5"/>
  <c r="H196" i="5"/>
  <c r="G196" i="5"/>
  <c r="F196" i="5"/>
  <c r="E196" i="5"/>
  <c r="D196" i="5"/>
  <c r="C196" i="5"/>
  <c r="I195" i="5"/>
  <c r="H195" i="5"/>
  <c r="G195" i="5"/>
  <c r="F195" i="5"/>
  <c r="E195" i="5"/>
  <c r="D195" i="5"/>
  <c r="C195" i="5"/>
  <c r="I194" i="5"/>
  <c r="H194" i="5"/>
  <c r="G194" i="5"/>
  <c r="F194" i="5"/>
  <c r="E194" i="5"/>
  <c r="D194" i="5"/>
  <c r="C194" i="5"/>
  <c r="I193" i="5"/>
  <c r="H193" i="5"/>
  <c r="G193" i="5"/>
  <c r="F193" i="5"/>
  <c r="E193" i="5"/>
  <c r="D193" i="5"/>
  <c r="C193" i="5"/>
  <c r="I192" i="5"/>
  <c r="H192" i="5"/>
  <c r="G192" i="5"/>
  <c r="F192" i="5"/>
  <c r="E192" i="5"/>
  <c r="D192" i="5"/>
  <c r="C192" i="5"/>
  <c r="I191" i="5"/>
  <c r="H191" i="5"/>
  <c r="G191" i="5"/>
  <c r="F191" i="5"/>
  <c r="E191" i="5"/>
  <c r="D191" i="5"/>
  <c r="C191" i="5"/>
  <c r="I190" i="5"/>
  <c r="H190" i="5"/>
  <c r="G190" i="5"/>
  <c r="F190" i="5"/>
  <c r="E190" i="5"/>
  <c r="D190" i="5"/>
  <c r="C190" i="5"/>
  <c r="I189" i="5"/>
  <c r="H189" i="5"/>
  <c r="G189" i="5"/>
  <c r="F189" i="5"/>
  <c r="E189" i="5"/>
  <c r="D189" i="5"/>
  <c r="C189" i="5"/>
  <c r="I188" i="5"/>
  <c r="H188" i="5"/>
  <c r="G188" i="5"/>
  <c r="F188" i="5"/>
  <c r="E188" i="5"/>
  <c r="D188" i="5"/>
  <c r="C188" i="5"/>
  <c r="I187" i="5"/>
  <c r="H187" i="5"/>
  <c r="G187" i="5"/>
  <c r="F187" i="5"/>
  <c r="E187" i="5"/>
  <c r="D187" i="5"/>
  <c r="C187" i="5"/>
  <c r="I186" i="5"/>
  <c r="H186" i="5"/>
  <c r="G186" i="5"/>
  <c r="F186" i="5"/>
  <c r="E186" i="5"/>
  <c r="D186" i="5"/>
  <c r="C186" i="5"/>
  <c r="I185" i="5"/>
  <c r="H185" i="5"/>
  <c r="G185" i="5"/>
  <c r="F185" i="5"/>
  <c r="E185" i="5"/>
  <c r="D185" i="5"/>
  <c r="C185" i="5"/>
  <c r="I184" i="5"/>
  <c r="H184" i="5"/>
  <c r="G184" i="5"/>
  <c r="F184" i="5"/>
  <c r="E184" i="5"/>
  <c r="D184" i="5"/>
  <c r="C184" i="5"/>
  <c r="I183" i="5"/>
  <c r="H183" i="5"/>
  <c r="G183" i="5"/>
  <c r="F183" i="5"/>
  <c r="E183" i="5"/>
  <c r="D183" i="5"/>
  <c r="C183" i="5"/>
  <c r="I182" i="5"/>
  <c r="H182" i="5"/>
  <c r="G182" i="5"/>
  <c r="F182" i="5"/>
  <c r="E182" i="5"/>
  <c r="D182" i="5"/>
  <c r="C182" i="5"/>
  <c r="I181" i="5"/>
  <c r="H181" i="5"/>
  <c r="G181" i="5"/>
  <c r="F181" i="5"/>
  <c r="E181" i="5"/>
  <c r="D181" i="5"/>
  <c r="C181" i="5"/>
  <c r="I180" i="5"/>
  <c r="H180" i="5"/>
  <c r="G180" i="5"/>
  <c r="F180" i="5"/>
  <c r="E180" i="5"/>
  <c r="D180" i="5"/>
  <c r="C180" i="5"/>
  <c r="I179" i="5"/>
  <c r="H179" i="5"/>
  <c r="G179" i="5"/>
  <c r="F179" i="5"/>
  <c r="E179" i="5"/>
  <c r="D179" i="5"/>
  <c r="C179" i="5"/>
  <c r="I178" i="5"/>
  <c r="H178" i="5"/>
  <c r="G178" i="5"/>
  <c r="F178" i="5"/>
  <c r="E178" i="5"/>
  <c r="D178" i="5"/>
  <c r="C178" i="5"/>
  <c r="I177" i="5"/>
  <c r="H177" i="5"/>
  <c r="G177" i="5"/>
  <c r="F177" i="5"/>
  <c r="E177" i="5"/>
  <c r="D177" i="5"/>
  <c r="C177" i="5"/>
  <c r="I176" i="5"/>
  <c r="H176" i="5"/>
  <c r="G176" i="5"/>
  <c r="F176" i="5"/>
  <c r="E176" i="5"/>
  <c r="D176" i="5"/>
  <c r="C176" i="5"/>
  <c r="I175" i="5"/>
  <c r="H175" i="5"/>
  <c r="G175" i="5"/>
  <c r="F175" i="5"/>
  <c r="E175" i="5"/>
  <c r="D175" i="5"/>
  <c r="C175" i="5"/>
  <c r="I174" i="5"/>
  <c r="H174" i="5"/>
  <c r="G174" i="5"/>
  <c r="F174" i="5"/>
  <c r="E174" i="5"/>
  <c r="D174" i="5"/>
  <c r="C174" i="5"/>
  <c r="I173" i="5"/>
  <c r="H173" i="5"/>
  <c r="G173" i="5"/>
  <c r="F173" i="5"/>
  <c r="E173" i="5"/>
  <c r="D173" i="5"/>
  <c r="C173" i="5"/>
  <c r="I172" i="5"/>
  <c r="H172" i="5"/>
  <c r="G172" i="5"/>
  <c r="F172" i="5"/>
  <c r="E172" i="5"/>
  <c r="D172" i="5"/>
  <c r="C172" i="5"/>
  <c r="I171" i="5"/>
  <c r="H171" i="5"/>
  <c r="G171" i="5"/>
  <c r="F171" i="5"/>
  <c r="E171" i="5"/>
  <c r="D171" i="5"/>
  <c r="C171" i="5"/>
  <c r="I170" i="5"/>
  <c r="H170" i="5"/>
  <c r="G170" i="5"/>
  <c r="F170" i="5"/>
  <c r="E170" i="5"/>
  <c r="D170" i="5"/>
  <c r="C170" i="5"/>
  <c r="I169" i="5"/>
  <c r="H169" i="5"/>
  <c r="G169" i="5"/>
  <c r="F169" i="5"/>
  <c r="E169" i="5"/>
  <c r="D169" i="5"/>
  <c r="C169" i="5"/>
  <c r="I168" i="5"/>
  <c r="H168" i="5"/>
  <c r="G168" i="5"/>
  <c r="F168" i="5"/>
  <c r="E168" i="5"/>
  <c r="D168" i="5"/>
  <c r="C168" i="5"/>
  <c r="I167" i="5"/>
  <c r="H167" i="5"/>
  <c r="G167" i="5"/>
  <c r="F167" i="5"/>
  <c r="E167" i="5"/>
  <c r="D167" i="5"/>
  <c r="C167" i="5"/>
  <c r="I166" i="5"/>
  <c r="H166" i="5"/>
  <c r="G166" i="5"/>
  <c r="F166" i="5"/>
  <c r="E166" i="5"/>
  <c r="D166" i="5"/>
  <c r="C166" i="5"/>
  <c r="I165" i="5"/>
  <c r="H165" i="5"/>
  <c r="G165" i="5"/>
  <c r="F165" i="5"/>
  <c r="E165" i="5"/>
  <c r="D165" i="5"/>
  <c r="C165" i="5"/>
  <c r="I164" i="5"/>
  <c r="H164" i="5"/>
  <c r="G164" i="5"/>
  <c r="F164" i="5"/>
  <c r="E164" i="5"/>
  <c r="D164" i="5"/>
  <c r="C164" i="5"/>
  <c r="I163" i="5"/>
  <c r="H163" i="5"/>
  <c r="G163" i="5"/>
  <c r="F163" i="5"/>
  <c r="E163" i="5"/>
  <c r="D163" i="5"/>
  <c r="C163" i="5"/>
  <c r="I162" i="5"/>
  <c r="H162" i="5"/>
  <c r="G162" i="5"/>
  <c r="F162" i="5"/>
  <c r="E162" i="5"/>
  <c r="D162" i="5"/>
  <c r="C162" i="5"/>
  <c r="I161" i="5"/>
  <c r="H161" i="5"/>
  <c r="G161" i="5"/>
  <c r="F161" i="5"/>
  <c r="E161" i="5"/>
  <c r="D161" i="5"/>
  <c r="C161" i="5"/>
  <c r="I160" i="5"/>
  <c r="H160" i="5"/>
  <c r="G160" i="5"/>
  <c r="F160" i="5"/>
  <c r="E160" i="5"/>
  <c r="D160" i="5"/>
  <c r="C160" i="5"/>
  <c r="I159" i="5"/>
  <c r="H159" i="5"/>
  <c r="G159" i="5"/>
  <c r="F159" i="5"/>
  <c r="E159" i="5"/>
  <c r="D159" i="5"/>
  <c r="C159" i="5"/>
  <c r="I158" i="5"/>
  <c r="H158" i="5"/>
  <c r="G158" i="5"/>
  <c r="F158" i="5"/>
  <c r="E158" i="5"/>
  <c r="D158" i="5"/>
  <c r="C158" i="5"/>
  <c r="I157" i="5"/>
  <c r="H157" i="5"/>
  <c r="G157" i="5"/>
  <c r="F157" i="5"/>
  <c r="E157" i="5"/>
  <c r="D157" i="5"/>
  <c r="C157" i="5"/>
  <c r="I156" i="5"/>
  <c r="H156" i="5"/>
  <c r="G156" i="5"/>
  <c r="F156" i="5"/>
  <c r="E156" i="5"/>
  <c r="D156" i="5"/>
  <c r="C156" i="5"/>
  <c r="I155" i="5"/>
  <c r="H155" i="5"/>
  <c r="G155" i="5"/>
  <c r="F155" i="5"/>
  <c r="E155" i="5"/>
  <c r="D155" i="5"/>
  <c r="C155" i="5"/>
  <c r="I154" i="5"/>
  <c r="H154" i="5"/>
  <c r="G154" i="5"/>
  <c r="F154" i="5"/>
  <c r="E154" i="5"/>
  <c r="D154" i="5"/>
  <c r="C154" i="5"/>
  <c r="I153" i="5"/>
  <c r="H153" i="5"/>
  <c r="G153" i="5"/>
  <c r="F153" i="5"/>
  <c r="E153" i="5"/>
  <c r="D153" i="5"/>
  <c r="C153" i="5"/>
  <c r="I152" i="5"/>
  <c r="H152" i="5"/>
  <c r="G152" i="5"/>
  <c r="F152" i="5"/>
  <c r="E152" i="5"/>
  <c r="D152" i="5"/>
  <c r="C152" i="5"/>
  <c r="I151" i="5"/>
  <c r="H151" i="5"/>
  <c r="G151" i="5"/>
  <c r="F151" i="5"/>
  <c r="E151" i="5"/>
  <c r="D151" i="5"/>
  <c r="C151" i="5"/>
  <c r="I150" i="5"/>
  <c r="H150" i="5"/>
  <c r="G150" i="5"/>
  <c r="F150" i="5"/>
  <c r="E150" i="5"/>
  <c r="D150" i="5"/>
  <c r="C150" i="5"/>
  <c r="I149" i="5"/>
  <c r="H149" i="5"/>
  <c r="G149" i="5"/>
  <c r="F149" i="5"/>
  <c r="E149" i="5"/>
  <c r="D149" i="5"/>
  <c r="C149" i="5"/>
  <c r="I148" i="5"/>
  <c r="H148" i="5"/>
  <c r="G148" i="5"/>
  <c r="F148" i="5"/>
  <c r="E148" i="5"/>
  <c r="D148" i="5"/>
  <c r="C148" i="5"/>
  <c r="I147" i="5"/>
  <c r="H147" i="5"/>
  <c r="G147" i="5"/>
  <c r="F147" i="5"/>
  <c r="E147" i="5"/>
  <c r="D147" i="5"/>
  <c r="C147" i="5"/>
  <c r="I146" i="5"/>
  <c r="H146" i="5"/>
  <c r="G146" i="5"/>
  <c r="F146" i="5"/>
  <c r="E146" i="5"/>
  <c r="D146" i="5"/>
  <c r="C146" i="5"/>
  <c r="I145" i="5"/>
  <c r="H145" i="5"/>
  <c r="G145" i="5"/>
  <c r="F145" i="5"/>
  <c r="E145" i="5"/>
  <c r="D145" i="5"/>
  <c r="C145" i="5"/>
  <c r="I144" i="5"/>
  <c r="H144" i="5"/>
  <c r="G144" i="5"/>
  <c r="F144" i="5"/>
  <c r="E144" i="5"/>
  <c r="D144" i="5"/>
  <c r="C144" i="5"/>
  <c r="I143" i="5"/>
  <c r="H143" i="5"/>
  <c r="G143" i="5"/>
  <c r="F143" i="5"/>
  <c r="E143" i="5"/>
  <c r="D143" i="5"/>
  <c r="C143" i="5"/>
  <c r="I142" i="5"/>
  <c r="H142" i="5"/>
  <c r="G142" i="5"/>
  <c r="F142" i="5"/>
  <c r="E142" i="5"/>
  <c r="D142" i="5"/>
  <c r="C142" i="5"/>
  <c r="I141" i="5"/>
  <c r="H141" i="5"/>
  <c r="G141" i="5"/>
  <c r="F141" i="5"/>
  <c r="E141" i="5"/>
  <c r="D141" i="5"/>
  <c r="C141" i="5"/>
  <c r="I140" i="5"/>
  <c r="H140" i="5"/>
  <c r="G140" i="5"/>
  <c r="F140" i="5"/>
  <c r="E140" i="5"/>
  <c r="D140" i="5"/>
  <c r="C140" i="5"/>
  <c r="I139" i="5"/>
  <c r="H139" i="5"/>
  <c r="G139" i="5"/>
  <c r="F139" i="5"/>
  <c r="E139" i="5"/>
  <c r="D139" i="5"/>
  <c r="C139" i="5"/>
  <c r="I138" i="5"/>
  <c r="H138" i="5"/>
  <c r="G138" i="5"/>
  <c r="F138" i="5"/>
  <c r="E138" i="5"/>
  <c r="D138" i="5"/>
  <c r="C138" i="5"/>
  <c r="I137" i="5"/>
  <c r="H137" i="5"/>
  <c r="G137" i="5"/>
  <c r="F137" i="5"/>
  <c r="E137" i="5"/>
  <c r="D137" i="5"/>
  <c r="C137" i="5"/>
  <c r="I136" i="5"/>
  <c r="H136" i="5"/>
  <c r="G136" i="5"/>
  <c r="F136" i="5"/>
  <c r="E136" i="5"/>
  <c r="D136" i="5"/>
  <c r="C136" i="5"/>
  <c r="I135" i="5"/>
  <c r="H135" i="5"/>
  <c r="G135" i="5"/>
  <c r="F135" i="5"/>
  <c r="E135" i="5"/>
  <c r="D135" i="5"/>
  <c r="C135" i="5"/>
  <c r="I134" i="5"/>
  <c r="H134" i="5"/>
  <c r="G134" i="5"/>
  <c r="F134" i="5"/>
  <c r="E134" i="5"/>
  <c r="D134" i="5"/>
  <c r="C134" i="5"/>
  <c r="I133" i="5"/>
  <c r="H133" i="5"/>
  <c r="G133" i="5"/>
  <c r="F133" i="5"/>
  <c r="E133" i="5"/>
  <c r="D133" i="5"/>
  <c r="C133" i="5"/>
  <c r="I132" i="5"/>
  <c r="H132" i="5"/>
  <c r="G132" i="5"/>
  <c r="F132" i="5"/>
  <c r="E132" i="5"/>
  <c r="D132" i="5"/>
  <c r="C132" i="5"/>
  <c r="I131" i="5"/>
  <c r="H131" i="5"/>
  <c r="G131" i="5"/>
  <c r="F131" i="5"/>
  <c r="E131" i="5"/>
  <c r="D131" i="5"/>
  <c r="C131" i="5"/>
  <c r="I130" i="5"/>
  <c r="H130" i="5"/>
  <c r="G130" i="5"/>
  <c r="F130" i="5"/>
  <c r="E130" i="5"/>
  <c r="D130" i="5"/>
  <c r="C130" i="5"/>
  <c r="I129" i="5"/>
  <c r="H129" i="5"/>
  <c r="G129" i="5"/>
  <c r="F129" i="5"/>
  <c r="E129" i="5"/>
  <c r="D129" i="5"/>
  <c r="C129" i="5"/>
  <c r="I128" i="5"/>
  <c r="H128" i="5"/>
  <c r="G128" i="5"/>
  <c r="F128" i="5"/>
  <c r="E128" i="5"/>
  <c r="D128" i="5"/>
  <c r="C128" i="5"/>
  <c r="I127" i="5"/>
  <c r="H127" i="5"/>
  <c r="G127" i="5"/>
  <c r="F127" i="5"/>
  <c r="E127" i="5"/>
  <c r="D127" i="5"/>
  <c r="C127" i="5"/>
  <c r="I126" i="5"/>
  <c r="H126" i="5"/>
  <c r="G126" i="5"/>
  <c r="F126" i="5"/>
  <c r="E126" i="5"/>
  <c r="D126" i="5"/>
  <c r="C126" i="5"/>
  <c r="I125" i="5"/>
  <c r="H125" i="5"/>
  <c r="G125" i="5"/>
  <c r="F125" i="5"/>
  <c r="E125" i="5"/>
  <c r="D125" i="5"/>
  <c r="C125" i="5"/>
  <c r="I124" i="5"/>
  <c r="H124" i="5"/>
  <c r="G124" i="5"/>
  <c r="F124" i="5"/>
  <c r="E124" i="5"/>
  <c r="D124" i="5"/>
  <c r="C124" i="5"/>
  <c r="I123" i="5"/>
  <c r="H123" i="5"/>
  <c r="G123" i="5"/>
  <c r="F123" i="5"/>
  <c r="E123" i="5"/>
  <c r="D123" i="5"/>
  <c r="C123" i="5"/>
  <c r="I122" i="5"/>
  <c r="H122" i="5"/>
  <c r="G122" i="5"/>
  <c r="F122" i="5"/>
  <c r="E122" i="5"/>
  <c r="D122" i="5"/>
  <c r="C122" i="5"/>
  <c r="I121" i="5"/>
  <c r="H121" i="5"/>
  <c r="G121" i="5"/>
  <c r="F121" i="5"/>
  <c r="E121" i="5"/>
  <c r="D121" i="5"/>
  <c r="C121" i="5"/>
  <c r="I120" i="5"/>
  <c r="H120" i="5"/>
  <c r="G120" i="5"/>
  <c r="F120" i="5"/>
  <c r="E120" i="5"/>
  <c r="D120" i="5"/>
  <c r="C120" i="5"/>
  <c r="I119" i="5"/>
  <c r="H119" i="5"/>
  <c r="G119" i="5"/>
  <c r="F119" i="5"/>
  <c r="E119" i="5"/>
  <c r="D119" i="5"/>
  <c r="C119" i="5"/>
  <c r="I118" i="5"/>
  <c r="H118" i="5"/>
  <c r="G118" i="5"/>
  <c r="F118" i="5"/>
  <c r="E118" i="5"/>
  <c r="D118" i="5"/>
  <c r="C118" i="5"/>
  <c r="I117" i="5"/>
  <c r="H117" i="5"/>
  <c r="G117" i="5"/>
  <c r="F117" i="5"/>
  <c r="E117" i="5"/>
  <c r="D117" i="5"/>
  <c r="C117" i="5"/>
  <c r="I116" i="5"/>
  <c r="H116" i="5"/>
  <c r="G116" i="5"/>
  <c r="F116" i="5"/>
  <c r="E116" i="5"/>
  <c r="D116" i="5"/>
  <c r="C116" i="5"/>
  <c r="I115" i="5"/>
  <c r="H115" i="5"/>
  <c r="G115" i="5"/>
  <c r="F115" i="5"/>
  <c r="E115" i="5"/>
  <c r="D115" i="5"/>
  <c r="C115" i="5"/>
  <c r="I114" i="5"/>
  <c r="H114" i="5"/>
  <c r="G114" i="5"/>
  <c r="F114" i="5"/>
  <c r="E114" i="5"/>
  <c r="D114" i="5"/>
  <c r="C114" i="5"/>
  <c r="I113" i="5"/>
  <c r="H113" i="5"/>
  <c r="G113" i="5"/>
  <c r="F113" i="5"/>
  <c r="E113" i="5"/>
  <c r="D113" i="5"/>
  <c r="C113" i="5"/>
  <c r="I112" i="5"/>
  <c r="H112" i="5"/>
  <c r="G112" i="5"/>
  <c r="F112" i="5"/>
  <c r="E112" i="5"/>
  <c r="D112" i="5"/>
  <c r="C112" i="5"/>
  <c r="I111" i="5"/>
  <c r="H111" i="5"/>
  <c r="G111" i="5"/>
  <c r="F111" i="5"/>
  <c r="E111" i="5"/>
  <c r="D111" i="5"/>
  <c r="C111" i="5"/>
  <c r="I110" i="5"/>
  <c r="H110" i="5"/>
  <c r="G110" i="5"/>
  <c r="F110" i="5"/>
  <c r="E110" i="5"/>
  <c r="D110" i="5"/>
  <c r="C110" i="5"/>
  <c r="I109" i="5"/>
  <c r="H109" i="5"/>
  <c r="G109" i="5"/>
  <c r="F109" i="5"/>
  <c r="E109" i="5"/>
  <c r="D109" i="5"/>
  <c r="C109" i="5"/>
  <c r="I108" i="5"/>
  <c r="H108" i="5"/>
  <c r="G108" i="5"/>
  <c r="F108" i="5"/>
  <c r="E108" i="5"/>
  <c r="D108" i="5"/>
  <c r="C108" i="5"/>
  <c r="I107" i="5"/>
  <c r="H107" i="5"/>
  <c r="G107" i="5"/>
  <c r="F107" i="5"/>
  <c r="E107" i="5"/>
  <c r="D107" i="5"/>
  <c r="C107" i="5"/>
  <c r="I106" i="5"/>
  <c r="H106" i="5"/>
  <c r="G106" i="5"/>
  <c r="F106" i="5"/>
  <c r="E106" i="5"/>
  <c r="D106" i="5"/>
  <c r="C106" i="5"/>
  <c r="I105" i="5"/>
  <c r="H105" i="5"/>
  <c r="G105" i="5"/>
  <c r="F105" i="5"/>
  <c r="E105" i="5"/>
  <c r="D105" i="5"/>
  <c r="C105" i="5"/>
  <c r="I104" i="5"/>
  <c r="H104" i="5"/>
  <c r="G104" i="5"/>
  <c r="F104" i="5"/>
  <c r="E104" i="5"/>
  <c r="D104" i="5"/>
  <c r="C104" i="5"/>
  <c r="I103" i="5"/>
  <c r="H103" i="5"/>
  <c r="G103" i="5"/>
  <c r="F103" i="5"/>
  <c r="E103" i="5"/>
  <c r="D103" i="5"/>
  <c r="C103" i="5"/>
  <c r="I102" i="5"/>
  <c r="H102" i="5"/>
  <c r="G102" i="5"/>
  <c r="F102" i="5"/>
  <c r="E102" i="5"/>
  <c r="D102" i="5"/>
  <c r="C102" i="5"/>
  <c r="I101" i="5"/>
  <c r="H101" i="5"/>
  <c r="G101" i="5"/>
  <c r="F101" i="5"/>
  <c r="E101" i="5"/>
  <c r="D101" i="5"/>
  <c r="C101" i="5"/>
  <c r="I100" i="5"/>
  <c r="H100" i="5"/>
  <c r="G100" i="5"/>
  <c r="F100" i="5"/>
  <c r="E100" i="5"/>
  <c r="D100" i="5"/>
  <c r="C100" i="5"/>
  <c r="I99" i="5"/>
  <c r="H99" i="5"/>
  <c r="G99" i="5"/>
  <c r="F99" i="5"/>
  <c r="E99" i="5"/>
  <c r="D99" i="5"/>
  <c r="C99" i="5"/>
  <c r="I98" i="5"/>
  <c r="H98" i="5"/>
  <c r="G98" i="5"/>
  <c r="F98" i="5"/>
  <c r="E98" i="5"/>
  <c r="D98" i="5"/>
  <c r="C98" i="5"/>
  <c r="I97" i="5"/>
  <c r="H97" i="5"/>
  <c r="G97" i="5"/>
  <c r="F97" i="5"/>
  <c r="E97" i="5"/>
  <c r="D97" i="5"/>
  <c r="C97" i="5"/>
  <c r="I96" i="5"/>
  <c r="H96" i="5"/>
  <c r="G96" i="5"/>
  <c r="F96" i="5"/>
  <c r="E96" i="5"/>
  <c r="D96" i="5"/>
  <c r="C96" i="5"/>
  <c r="I95" i="5"/>
  <c r="H95" i="5"/>
  <c r="G95" i="5"/>
  <c r="F95" i="5"/>
  <c r="E95" i="5"/>
  <c r="D95" i="5"/>
  <c r="C95" i="5"/>
  <c r="I94" i="5"/>
  <c r="H94" i="5"/>
  <c r="G94" i="5"/>
  <c r="F94" i="5"/>
  <c r="E94" i="5"/>
  <c r="D94" i="5"/>
  <c r="C94" i="5"/>
  <c r="I93" i="5"/>
  <c r="H93" i="5"/>
  <c r="G93" i="5"/>
  <c r="F93" i="5"/>
  <c r="E93" i="5"/>
  <c r="D93" i="5"/>
  <c r="C93" i="5"/>
  <c r="I92" i="5"/>
  <c r="H92" i="5"/>
  <c r="G92" i="5"/>
  <c r="F92" i="5"/>
  <c r="E92" i="5"/>
  <c r="D92" i="5"/>
  <c r="C92" i="5"/>
  <c r="I91" i="5"/>
  <c r="H91" i="5"/>
  <c r="G91" i="5"/>
  <c r="F91" i="5"/>
  <c r="E91" i="5"/>
  <c r="D91" i="5"/>
  <c r="C91" i="5"/>
  <c r="I90" i="5"/>
  <c r="H90" i="5"/>
  <c r="G90" i="5"/>
  <c r="F90" i="5"/>
  <c r="E90" i="5"/>
  <c r="D90" i="5"/>
  <c r="C90" i="5"/>
  <c r="I89" i="5"/>
  <c r="H89" i="5"/>
  <c r="G89" i="5"/>
  <c r="F89" i="5"/>
  <c r="E89" i="5"/>
  <c r="D89" i="5"/>
  <c r="C89" i="5"/>
  <c r="I88" i="5"/>
  <c r="H88" i="5"/>
  <c r="G88" i="5"/>
  <c r="F88" i="5"/>
  <c r="E88" i="5"/>
  <c r="D88" i="5"/>
  <c r="C88" i="5"/>
  <c r="I87" i="5"/>
  <c r="H87" i="5"/>
  <c r="G87" i="5"/>
  <c r="F87" i="5"/>
  <c r="E87" i="5"/>
  <c r="D87" i="5"/>
  <c r="C87" i="5"/>
  <c r="I86" i="5"/>
  <c r="H86" i="5"/>
  <c r="G86" i="5"/>
  <c r="F86" i="5"/>
  <c r="E86" i="5"/>
  <c r="D86" i="5"/>
  <c r="C86" i="5"/>
  <c r="I85" i="5"/>
  <c r="H85" i="5"/>
  <c r="G85" i="5"/>
  <c r="F85" i="5"/>
  <c r="E85" i="5"/>
  <c r="D85" i="5"/>
  <c r="C85" i="5"/>
  <c r="I84" i="5"/>
  <c r="H84" i="5"/>
  <c r="G84" i="5"/>
  <c r="F84" i="5"/>
  <c r="E84" i="5"/>
  <c r="D84" i="5"/>
  <c r="C84" i="5"/>
  <c r="I83" i="5"/>
  <c r="H83" i="5"/>
  <c r="G83" i="5"/>
  <c r="F83" i="5"/>
  <c r="E83" i="5"/>
  <c r="D83" i="5"/>
  <c r="C83" i="5"/>
  <c r="I82" i="5"/>
  <c r="H82" i="5"/>
  <c r="G82" i="5"/>
  <c r="F82" i="5"/>
  <c r="E82" i="5"/>
  <c r="D82" i="5"/>
  <c r="C82" i="5"/>
  <c r="I81" i="5"/>
  <c r="H81" i="5"/>
  <c r="G81" i="5"/>
  <c r="F81" i="5"/>
  <c r="E81" i="5"/>
  <c r="D81" i="5"/>
  <c r="C81" i="5"/>
  <c r="I80" i="5"/>
  <c r="H80" i="5"/>
  <c r="G80" i="5"/>
  <c r="F80" i="5"/>
  <c r="E80" i="5"/>
  <c r="D80" i="5"/>
  <c r="C80" i="5"/>
  <c r="I79" i="5"/>
  <c r="H79" i="5"/>
  <c r="G79" i="5"/>
  <c r="F79" i="5"/>
  <c r="E79" i="5"/>
  <c r="D79" i="5"/>
  <c r="C79" i="5"/>
  <c r="I78" i="5"/>
  <c r="H78" i="5"/>
  <c r="G78" i="5"/>
  <c r="F78" i="5"/>
  <c r="E78" i="5"/>
  <c r="D78" i="5"/>
  <c r="C78" i="5"/>
  <c r="I77" i="5"/>
  <c r="H77" i="5"/>
  <c r="G77" i="5"/>
  <c r="F77" i="5"/>
  <c r="E77" i="5"/>
  <c r="D77" i="5"/>
  <c r="C77" i="5"/>
  <c r="I76" i="5"/>
  <c r="H76" i="5"/>
  <c r="G76" i="5"/>
  <c r="F76" i="5"/>
  <c r="E76" i="5"/>
  <c r="D76" i="5"/>
  <c r="C76" i="5"/>
  <c r="I75" i="5"/>
  <c r="H75" i="5"/>
  <c r="G75" i="5"/>
  <c r="F75" i="5"/>
  <c r="E75" i="5"/>
  <c r="D75" i="5"/>
  <c r="C75" i="5"/>
  <c r="I74" i="5"/>
  <c r="H74" i="5"/>
  <c r="G74" i="5"/>
  <c r="F74" i="5"/>
  <c r="E74" i="5"/>
  <c r="D74" i="5"/>
  <c r="C74" i="5"/>
  <c r="I73" i="5"/>
  <c r="H73" i="5"/>
  <c r="G73" i="5"/>
  <c r="F73" i="5"/>
  <c r="E73" i="5"/>
  <c r="D73" i="5"/>
  <c r="C73" i="5"/>
  <c r="I72" i="5"/>
  <c r="H72" i="5"/>
  <c r="G72" i="5"/>
  <c r="F72" i="5"/>
  <c r="E72" i="5"/>
  <c r="D72" i="5"/>
  <c r="C72" i="5"/>
  <c r="I71" i="5"/>
  <c r="H71" i="5"/>
  <c r="G71" i="5"/>
  <c r="F71" i="5"/>
  <c r="E71" i="5"/>
  <c r="D71" i="5"/>
  <c r="C71" i="5"/>
  <c r="I70" i="5"/>
  <c r="H70" i="5"/>
  <c r="G70" i="5"/>
  <c r="F70" i="5"/>
  <c r="E70" i="5"/>
  <c r="D70" i="5"/>
  <c r="C70" i="5"/>
  <c r="I69" i="5"/>
  <c r="H69" i="5"/>
  <c r="G69" i="5"/>
  <c r="F69" i="5"/>
  <c r="E69" i="5"/>
  <c r="D69" i="5"/>
  <c r="C69" i="5"/>
  <c r="I68" i="5"/>
  <c r="H68" i="5"/>
  <c r="G68" i="5"/>
  <c r="F68" i="5"/>
  <c r="E68" i="5"/>
  <c r="D68" i="5"/>
  <c r="C68" i="5"/>
  <c r="I67" i="5"/>
  <c r="H67" i="5"/>
  <c r="G67" i="5"/>
  <c r="F67" i="5"/>
  <c r="E67" i="5"/>
  <c r="D67" i="5"/>
  <c r="C67" i="5"/>
  <c r="I66" i="5"/>
  <c r="H66" i="5"/>
  <c r="G66" i="5"/>
  <c r="F66" i="5"/>
  <c r="E66" i="5"/>
  <c r="D66" i="5"/>
  <c r="C66" i="5"/>
  <c r="I65" i="5"/>
  <c r="H65" i="5"/>
  <c r="G65" i="5"/>
  <c r="F65" i="5"/>
  <c r="E65" i="5"/>
  <c r="D65" i="5"/>
  <c r="C65" i="5"/>
  <c r="I64" i="5"/>
  <c r="H64" i="5"/>
  <c r="G64" i="5"/>
  <c r="F64" i="5"/>
  <c r="E64" i="5"/>
  <c r="D64" i="5"/>
  <c r="C64" i="5"/>
  <c r="I63" i="5"/>
  <c r="H63" i="5"/>
  <c r="G63" i="5"/>
  <c r="F63" i="5"/>
  <c r="E63" i="5"/>
  <c r="D63" i="5"/>
  <c r="C63" i="5"/>
  <c r="I62" i="5"/>
  <c r="H62" i="5"/>
  <c r="G62" i="5"/>
  <c r="F62" i="5"/>
  <c r="E62" i="5"/>
  <c r="D62" i="5"/>
  <c r="C62" i="5"/>
  <c r="I61" i="5"/>
  <c r="H61" i="5"/>
  <c r="G61" i="5"/>
  <c r="F61" i="5"/>
  <c r="E61" i="5"/>
  <c r="D61" i="5"/>
  <c r="C61" i="5"/>
  <c r="I60" i="5"/>
  <c r="H60" i="5"/>
  <c r="G60" i="5"/>
  <c r="F60" i="5"/>
  <c r="E60" i="5"/>
  <c r="D60" i="5"/>
  <c r="C60" i="5"/>
  <c r="I59" i="5"/>
  <c r="H59" i="5"/>
  <c r="G59" i="5"/>
  <c r="F59" i="5"/>
  <c r="E59" i="5"/>
  <c r="D59" i="5"/>
  <c r="C59" i="5"/>
  <c r="I58" i="5"/>
  <c r="H58" i="5"/>
  <c r="G58" i="5"/>
  <c r="F58" i="5"/>
  <c r="E58" i="5"/>
  <c r="D58" i="5"/>
  <c r="C58" i="5"/>
  <c r="I57" i="5"/>
  <c r="H57" i="5"/>
  <c r="G57" i="5"/>
  <c r="F57" i="5"/>
  <c r="E57" i="5"/>
  <c r="D57" i="5"/>
  <c r="C57" i="5"/>
  <c r="I56" i="5"/>
  <c r="H56" i="5"/>
  <c r="G56" i="5"/>
  <c r="F56" i="5"/>
  <c r="E56" i="5"/>
  <c r="D56" i="5"/>
  <c r="C56" i="5"/>
  <c r="I55" i="5"/>
  <c r="H55" i="5"/>
  <c r="G55" i="5"/>
  <c r="F55" i="5"/>
  <c r="E55" i="5"/>
  <c r="D55" i="5"/>
  <c r="C55" i="5"/>
  <c r="I54" i="5"/>
  <c r="H54" i="5"/>
  <c r="G54" i="5"/>
  <c r="F54" i="5"/>
  <c r="E54" i="5"/>
  <c r="D54" i="5"/>
  <c r="C54" i="5"/>
  <c r="I53" i="5"/>
  <c r="H53" i="5"/>
  <c r="G53" i="5"/>
  <c r="F53" i="5"/>
  <c r="E53" i="5"/>
  <c r="D53" i="5"/>
  <c r="C53" i="5"/>
  <c r="I52" i="5"/>
  <c r="H52" i="5"/>
  <c r="G52" i="5"/>
  <c r="F52" i="5"/>
  <c r="E52" i="5"/>
  <c r="D52" i="5"/>
  <c r="C52" i="5"/>
  <c r="I51" i="5"/>
  <c r="H51" i="5"/>
  <c r="G51" i="5"/>
  <c r="F51" i="5"/>
  <c r="E51" i="5"/>
  <c r="D51" i="5"/>
  <c r="C51" i="5"/>
  <c r="I50" i="5"/>
  <c r="H50" i="5"/>
  <c r="G50" i="5"/>
  <c r="F50" i="5"/>
  <c r="E50" i="5"/>
  <c r="D50" i="5"/>
  <c r="C50" i="5"/>
  <c r="I49" i="5"/>
  <c r="H49" i="5"/>
  <c r="G49" i="5"/>
  <c r="F49" i="5"/>
  <c r="E49" i="5"/>
  <c r="D49" i="5"/>
  <c r="C49" i="5"/>
  <c r="I48" i="5"/>
  <c r="H48" i="5"/>
  <c r="G48" i="5"/>
  <c r="F48" i="5"/>
  <c r="E48" i="5"/>
  <c r="D48" i="5"/>
  <c r="C48" i="5"/>
  <c r="I47" i="5"/>
  <c r="H47" i="5"/>
  <c r="G47" i="5"/>
  <c r="F47" i="5"/>
  <c r="E47" i="5"/>
  <c r="D47" i="5"/>
  <c r="C47" i="5"/>
  <c r="I46" i="5"/>
  <c r="H46" i="5"/>
  <c r="G46" i="5"/>
  <c r="F46" i="5"/>
  <c r="E46" i="5"/>
  <c r="D46" i="5"/>
  <c r="C46" i="5"/>
  <c r="I45" i="5"/>
  <c r="H45" i="5"/>
  <c r="G45" i="5"/>
  <c r="F45" i="5"/>
  <c r="E45" i="5"/>
  <c r="D45" i="5"/>
  <c r="C45" i="5"/>
  <c r="I44" i="5"/>
  <c r="H44" i="5"/>
  <c r="G44" i="5"/>
  <c r="F44" i="5"/>
  <c r="E44" i="5"/>
  <c r="D44" i="5"/>
  <c r="C44" i="5"/>
  <c r="I43" i="5"/>
  <c r="H43" i="5"/>
  <c r="G43" i="5"/>
  <c r="F43" i="5"/>
  <c r="E43" i="5"/>
  <c r="D43" i="5"/>
  <c r="C43" i="5"/>
  <c r="I42" i="5"/>
  <c r="H42" i="5"/>
  <c r="G42" i="5"/>
  <c r="F42" i="5"/>
  <c r="E42" i="5"/>
  <c r="D42" i="5"/>
  <c r="C42" i="5"/>
  <c r="I41" i="5"/>
  <c r="H41" i="5"/>
  <c r="G41" i="5"/>
  <c r="F41" i="5"/>
  <c r="E41" i="5"/>
  <c r="D41" i="5"/>
  <c r="C41" i="5"/>
  <c r="I40" i="5"/>
  <c r="H40" i="5"/>
  <c r="G40" i="5"/>
  <c r="F40" i="5"/>
  <c r="E40" i="5"/>
  <c r="D40" i="5"/>
  <c r="C40" i="5"/>
  <c r="I39" i="5"/>
  <c r="H39" i="5"/>
  <c r="G39" i="5"/>
  <c r="F39" i="5"/>
  <c r="E39" i="5"/>
  <c r="D39" i="5"/>
  <c r="C39" i="5"/>
  <c r="I38" i="5"/>
  <c r="H38" i="5"/>
  <c r="G38" i="5"/>
  <c r="F38" i="5"/>
  <c r="E38" i="5"/>
  <c r="D38" i="5"/>
  <c r="C38" i="5"/>
  <c r="I37" i="5"/>
  <c r="H37" i="5"/>
  <c r="G37" i="5"/>
  <c r="F37" i="5"/>
  <c r="E37" i="5"/>
  <c r="D37" i="5"/>
  <c r="C37" i="5"/>
  <c r="I36" i="5"/>
  <c r="H36" i="5"/>
  <c r="G36" i="5"/>
  <c r="F36" i="5"/>
  <c r="E36" i="5"/>
  <c r="D36" i="5"/>
  <c r="C36" i="5"/>
  <c r="I35" i="5"/>
  <c r="H35" i="5"/>
  <c r="G35" i="5"/>
  <c r="F35" i="5"/>
  <c r="E35" i="5"/>
  <c r="D35" i="5"/>
  <c r="C35" i="5"/>
  <c r="I34" i="5"/>
  <c r="H34" i="5"/>
  <c r="G34" i="5"/>
  <c r="F34" i="5"/>
  <c r="E34" i="5"/>
  <c r="D34" i="5"/>
  <c r="C34" i="5"/>
  <c r="I33" i="5"/>
  <c r="H33" i="5"/>
  <c r="G33" i="5"/>
  <c r="F33" i="5"/>
  <c r="E33" i="5"/>
  <c r="D33" i="5"/>
  <c r="C33" i="5"/>
  <c r="I32" i="5"/>
  <c r="H32" i="5"/>
  <c r="G32" i="5"/>
  <c r="F32" i="5"/>
  <c r="E32" i="5"/>
  <c r="D32" i="5"/>
  <c r="C32" i="5"/>
  <c r="I31" i="5"/>
  <c r="H31" i="5"/>
  <c r="G31" i="5"/>
  <c r="F31" i="5"/>
  <c r="E31" i="5"/>
  <c r="D31" i="5"/>
  <c r="C31" i="5"/>
  <c r="I30" i="5"/>
  <c r="H30" i="5"/>
  <c r="G30" i="5"/>
  <c r="F30" i="5"/>
  <c r="E30" i="5"/>
  <c r="D30" i="5"/>
  <c r="C30" i="5"/>
  <c r="I29" i="5"/>
  <c r="H29" i="5"/>
  <c r="G29" i="5"/>
  <c r="F29" i="5"/>
  <c r="E29" i="5"/>
  <c r="D29" i="5"/>
  <c r="C29" i="5"/>
  <c r="I28" i="5"/>
  <c r="H28" i="5"/>
  <c r="G28" i="5"/>
  <c r="F28" i="5"/>
  <c r="E28" i="5"/>
  <c r="D28" i="5"/>
  <c r="C28" i="5"/>
  <c r="I27" i="5"/>
  <c r="H27" i="5"/>
  <c r="G27" i="5"/>
  <c r="F27" i="5"/>
  <c r="E27" i="5"/>
  <c r="D27" i="5"/>
  <c r="C27" i="5"/>
  <c r="I26" i="5"/>
  <c r="H26" i="5"/>
  <c r="G26" i="5"/>
  <c r="F26" i="5"/>
  <c r="E26" i="5"/>
  <c r="D26" i="5"/>
  <c r="C26" i="5"/>
  <c r="I25" i="5"/>
  <c r="H25" i="5"/>
  <c r="G25" i="5"/>
  <c r="F25" i="5"/>
  <c r="E25" i="5"/>
  <c r="D25" i="5"/>
  <c r="C25" i="5"/>
  <c r="I24" i="5"/>
  <c r="H24" i="5"/>
  <c r="G24" i="5"/>
  <c r="F24" i="5"/>
  <c r="E24" i="5"/>
  <c r="D24" i="5"/>
  <c r="C24" i="5"/>
  <c r="I23" i="5"/>
  <c r="H23" i="5"/>
  <c r="G23" i="5"/>
  <c r="F23" i="5"/>
  <c r="E23" i="5"/>
  <c r="D23" i="5"/>
  <c r="C23" i="5"/>
  <c r="I22" i="5"/>
  <c r="H22" i="5"/>
  <c r="G22" i="5"/>
  <c r="F22" i="5"/>
  <c r="E22" i="5"/>
  <c r="D22" i="5"/>
  <c r="C22" i="5"/>
  <c r="I21" i="5"/>
  <c r="H21" i="5"/>
  <c r="G21" i="5"/>
  <c r="F21" i="5"/>
  <c r="E21" i="5"/>
  <c r="D21" i="5"/>
  <c r="C21" i="5"/>
  <c r="I20" i="5"/>
  <c r="H20" i="5"/>
  <c r="G20" i="5"/>
  <c r="F20" i="5"/>
  <c r="E20" i="5"/>
  <c r="D20" i="5"/>
  <c r="C20" i="5"/>
  <c r="I19" i="5"/>
  <c r="H19" i="5"/>
  <c r="G19" i="5"/>
  <c r="F19" i="5"/>
  <c r="E19" i="5"/>
  <c r="D19" i="5"/>
  <c r="C19" i="5"/>
  <c r="I18" i="5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6" i="5"/>
  <c r="H16" i="5"/>
  <c r="G16" i="5"/>
  <c r="F16" i="5"/>
  <c r="E16" i="5"/>
  <c r="D16" i="5"/>
  <c r="C16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13" i="5"/>
  <c r="H13" i="5"/>
  <c r="G13" i="5"/>
  <c r="F13" i="5"/>
  <c r="E13" i="5"/>
  <c r="D13" i="5"/>
  <c r="C13" i="5"/>
  <c r="I12" i="5"/>
  <c r="H12" i="5"/>
  <c r="G12" i="5"/>
  <c r="F12" i="5"/>
  <c r="E12" i="5"/>
  <c r="D12" i="5"/>
  <c r="C12" i="5"/>
  <c r="I11" i="5"/>
  <c r="H11" i="5"/>
  <c r="G11" i="5"/>
  <c r="F11" i="5"/>
  <c r="E11" i="5"/>
  <c r="D11" i="5"/>
  <c r="C11" i="5"/>
  <c r="I10" i="5"/>
  <c r="H10" i="5"/>
  <c r="G10" i="5"/>
  <c r="F10" i="5"/>
  <c r="E10" i="5"/>
  <c r="D10" i="5"/>
  <c r="C10" i="5"/>
  <c r="I9" i="5"/>
  <c r="H9" i="5"/>
  <c r="G9" i="5"/>
  <c r="F9" i="5"/>
  <c r="E9" i="5"/>
  <c r="D9" i="5"/>
  <c r="C9" i="5"/>
  <c r="I8" i="5"/>
  <c r="H8" i="5"/>
  <c r="G8" i="5"/>
  <c r="F8" i="5"/>
  <c r="E8" i="5"/>
  <c r="D8" i="5"/>
  <c r="C8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I5" i="5"/>
  <c r="H5" i="5"/>
  <c r="G5" i="5"/>
  <c r="F5" i="5"/>
  <c r="E5" i="5"/>
  <c r="D5" i="5"/>
  <c r="C5" i="5"/>
  <c r="I4" i="5"/>
  <c r="H4" i="5"/>
  <c r="G4" i="5"/>
  <c r="F4" i="5"/>
  <c r="E4" i="5"/>
  <c r="D4" i="5"/>
  <c r="C4" i="5"/>
  <c r="I3" i="5"/>
  <c r="H3" i="5"/>
  <c r="G3" i="5"/>
  <c r="F3" i="5"/>
  <c r="E3" i="5"/>
  <c r="D3" i="5"/>
  <c r="C3" i="5"/>
  <c r="I2" i="5"/>
  <c r="H2" i="5"/>
  <c r="G2" i="5"/>
  <c r="F2" i="5"/>
  <c r="E2" i="5"/>
  <c r="D2" i="5"/>
  <c r="C2" i="5"/>
  <c r="F347" i="5" s="1"/>
  <c r="M16" i="4"/>
  <c r="L16" i="4"/>
  <c r="K16" i="4"/>
  <c r="I16" i="4"/>
  <c r="H16" i="4"/>
  <c r="G16" i="4"/>
  <c r="F16" i="4"/>
  <c r="D16" i="4"/>
  <c r="J16" i="4" s="1"/>
  <c r="C16" i="4"/>
  <c r="M15" i="4"/>
  <c r="L15" i="4"/>
  <c r="K15" i="4"/>
  <c r="N15" i="4" s="1"/>
  <c r="J15" i="4"/>
  <c r="I15" i="4"/>
  <c r="H15" i="4"/>
  <c r="G15" i="4"/>
  <c r="F15" i="4"/>
  <c r="D15" i="4"/>
  <c r="C15" i="4"/>
  <c r="N14" i="4"/>
  <c r="M14" i="4"/>
  <c r="L14" i="4"/>
  <c r="K14" i="4"/>
  <c r="J14" i="4"/>
  <c r="I14" i="4"/>
  <c r="H14" i="4"/>
  <c r="G14" i="4"/>
  <c r="F14" i="4"/>
  <c r="D14" i="4"/>
  <c r="C14" i="4"/>
  <c r="N13" i="4"/>
  <c r="M13" i="4"/>
  <c r="L13" i="4"/>
  <c r="K13" i="4"/>
  <c r="I13" i="4"/>
  <c r="H13" i="4"/>
  <c r="G13" i="4"/>
  <c r="F13" i="4"/>
  <c r="D13" i="4"/>
  <c r="M12" i="4"/>
  <c r="L12" i="4"/>
  <c r="K12" i="4"/>
  <c r="I12" i="4"/>
  <c r="H12" i="4"/>
  <c r="G12" i="4"/>
  <c r="F12" i="4"/>
  <c r="D12" i="4"/>
  <c r="J12" i="4" s="1"/>
  <c r="C12" i="4"/>
  <c r="M11" i="4"/>
  <c r="L11" i="4"/>
  <c r="K11" i="4"/>
  <c r="J11" i="4"/>
  <c r="I11" i="4"/>
  <c r="H11" i="4"/>
  <c r="G11" i="4"/>
  <c r="F11" i="4"/>
  <c r="D11" i="4"/>
  <c r="C11" i="4"/>
  <c r="N10" i="4"/>
  <c r="M10" i="4"/>
  <c r="L10" i="4"/>
  <c r="K10" i="4"/>
  <c r="J10" i="4"/>
  <c r="I10" i="4"/>
  <c r="H10" i="4"/>
  <c r="G10" i="4"/>
  <c r="F10" i="4"/>
  <c r="D10" i="4"/>
  <c r="C10" i="4"/>
  <c r="N9" i="4"/>
  <c r="M9" i="4"/>
  <c r="L9" i="4"/>
  <c r="K9" i="4"/>
  <c r="J9" i="4"/>
  <c r="I9" i="4"/>
  <c r="H9" i="4"/>
  <c r="G9" i="4"/>
  <c r="F9" i="4"/>
  <c r="D9" i="4"/>
  <c r="C9" i="4"/>
  <c r="N8" i="4"/>
  <c r="M8" i="4"/>
  <c r="L8" i="4"/>
  <c r="K8" i="4"/>
  <c r="J8" i="4"/>
  <c r="I8" i="4"/>
  <c r="H8" i="4"/>
  <c r="G8" i="4"/>
  <c r="F8" i="4"/>
  <c r="D8" i="4"/>
  <c r="C8" i="4"/>
  <c r="N7" i="4"/>
  <c r="M7" i="4"/>
  <c r="L7" i="4"/>
  <c r="K7" i="4"/>
  <c r="J7" i="4"/>
  <c r="I7" i="4"/>
  <c r="H7" i="4"/>
  <c r="G7" i="4"/>
  <c r="F7" i="4"/>
  <c r="D7" i="4"/>
  <c r="C7" i="4"/>
  <c r="N6" i="4"/>
  <c r="M6" i="4"/>
  <c r="L6" i="4"/>
  <c r="K6" i="4"/>
  <c r="J6" i="4"/>
  <c r="I6" i="4"/>
  <c r="H6" i="4"/>
  <c r="G6" i="4"/>
  <c r="F6" i="4"/>
  <c r="D6" i="4"/>
  <c r="C6" i="4"/>
  <c r="N5" i="4"/>
  <c r="M5" i="4"/>
  <c r="L5" i="4"/>
  <c r="K5" i="4"/>
  <c r="J5" i="4"/>
  <c r="I5" i="4"/>
  <c r="H5" i="4"/>
  <c r="G5" i="4"/>
  <c r="F5" i="4"/>
  <c r="D5" i="4"/>
  <c r="C5" i="4"/>
  <c r="N4" i="4"/>
  <c r="M4" i="4"/>
  <c r="L4" i="4"/>
  <c r="K4" i="4"/>
  <c r="J4" i="4"/>
  <c r="I4" i="4"/>
  <c r="H4" i="4"/>
  <c r="G4" i="4"/>
  <c r="F4" i="4"/>
  <c r="D4" i="4"/>
  <c r="C4" i="4"/>
  <c r="N3" i="4"/>
  <c r="M3" i="4"/>
  <c r="L3" i="4"/>
  <c r="K3" i="4"/>
  <c r="J3" i="4"/>
  <c r="I3" i="4"/>
  <c r="H3" i="4"/>
  <c r="G3" i="4"/>
  <c r="F3" i="4"/>
  <c r="D3" i="4"/>
  <c r="C3" i="4"/>
  <c r="N2" i="4"/>
  <c r="M2" i="4"/>
  <c r="L2" i="4"/>
  <c r="K2" i="4"/>
  <c r="J2" i="4"/>
  <c r="I2" i="4"/>
  <c r="H2" i="4"/>
  <c r="G2" i="4"/>
  <c r="F2" i="4"/>
  <c r="D2" i="4"/>
  <c r="C2" i="4"/>
  <c r="K687" i="3"/>
  <c r="H687" i="3"/>
  <c r="K686" i="3"/>
  <c r="H686" i="3"/>
  <c r="K685" i="3"/>
  <c r="H685" i="3"/>
  <c r="K684" i="3"/>
  <c r="H684" i="3"/>
  <c r="K683" i="3"/>
  <c r="H683" i="3"/>
  <c r="K682" i="3"/>
  <c r="H682" i="3"/>
  <c r="K681" i="3"/>
  <c r="H681" i="3"/>
  <c r="K680" i="3"/>
  <c r="H680" i="3"/>
  <c r="K679" i="3"/>
  <c r="H679" i="3"/>
  <c r="K678" i="3"/>
  <c r="H678" i="3"/>
  <c r="K677" i="3"/>
  <c r="H677" i="3"/>
  <c r="K676" i="3"/>
  <c r="H676" i="3"/>
  <c r="K675" i="3"/>
  <c r="H675" i="3"/>
  <c r="K674" i="3"/>
  <c r="H674" i="3"/>
  <c r="K673" i="3"/>
  <c r="H673" i="3"/>
  <c r="K672" i="3"/>
  <c r="H672" i="3"/>
  <c r="K671" i="3"/>
  <c r="H671" i="3"/>
  <c r="K670" i="3"/>
  <c r="H670" i="3"/>
  <c r="K669" i="3"/>
  <c r="H669" i="3"/>
  <c r="K668" i="3"/>
  <c r="H668" i="3"/>
  <c r="K667" i="3"/>
  <c r="H667" i="3"/>
  <c r="K666" i="3"/>
  <c r="H666" i="3"/>
  <c r="K665" i="3"/>
  <c r="H665" i="3"/>
  <c r="K664" i="3"/>
  <c r="H664" i="3"/>
  <c r="K663" i="3"/>
  <c r="H663" i="3"/>
  <c r="K662" i="3"/>
  <c r="H662" i="3"/>
  <c r="K661" i="3"/>
  <c r="H661" i="3"/>
  <c r="K660" i="3"/>
  <c r="H660" i="3"/>
  <c r="K659" i="3"/>
  <c r="H659" i="3"/>
  <c r="K658" i="3"/>
  <c r="H658" i="3"/>
  <c r="K657" i="3"/>
  <c r="H657" i="3"/>
  <c r="K656" i="3"/>
  <c r="H656" i="3"/>
  <c r="K655" i="3"/>
  <c r="H655" i="3"/>
  <c r="K654" i="3"/>
  <c r="H654" i="3"/>
  <c r="K653" i="3"/>
  <c r="H653" i="3"/>
  <c r="K652" i="3"/>
  <c r="H652" i="3"/>
  <c r="K651" i="3"/>
  <c r="H651" i="3"/>
  <c r="K650" i="3"/>
  <c r="H650" i="3"/>
  <c r="K649" i="3"/>
  <c r="H649" i="3"/>
  <c r="K648" i="3"/>
  <c r="H648" i="3"/>
  <c r="K647" i="3"/>
  <c r="H647" i="3"/>
  <c r="K646" i="3"/>
  <c r="H646" i="3"/>
  <c r="K645" i="3"/>
  <c r="H645" i="3"/>
  <c r="K644" i="3"/>
  <c r="H644" i="3"/>
  <c r="K643" i="3"/>
  <c r="H643" i="3"/>
  <c r="K642" i="3"/>
  <c r="H642" i="3"/>
  <c r="K641" i="3"/>
  <c r="H641" i="3"/>
  <c r="K640" i="3"/>
  <c r="H640" i="3"/>
  <c r="K639" i="3"/>
  <c r="H639" i="3"/>
  <c r="K638" i="3"/>
  <c r="H638" i="3"/>
  <c r="K637" i="3"/>
  <c r="H637" i="3"/>
  <c r="K636" i="3"/>
  <c r="H636" i="3"/>
  <c r="K635" i="3"/>
  <c r="H635" i="3"/>
  <c r="O16" i="4" s="1"/>
  <c r="P16" i="4" s="1"/>
  <c r="Q16" i="4" s="1"/>
  <c r="K634" i="3"/>
  <c r="H634" i="3"/>
  <c r="K633" i="3"/>
  <c r="H633" i="3"/>
  <c r="K632" i="3"/>
  <c r="H632" i="3"/>
  <c r="K631" i="3"/>
  <c r="H631" i="3"/>
  <c r="K630" i="3"/>
  <c r="H630" i="3"/>
  <c r="K629" i="3"/>
  <c r="H629" i="3"/>
  <c r="K628" i="3"/>
  <c r="H628" i="3"/>
  <c r="K627" i="3"/>
  <c r="H627" i="3"/>
  <c r="K626" i="3"/>
  <c r="H626" i="3"/>
  <c r="K625" i="3"/>
  <c r="H625" i="3"/>
  <c r="K624" i="3"/>
  <c r="H624" i="3"/>
  <c r="K623" i="3"/>
  <c r="H623" i="3"/>
  <c r="K622" i="3"/>
  <c r="H622" i="3"/>
  <c r="K621" i="3"/>
  <c r="H621" i="3"/>
  <c r="K620" i="3"/>
  <c r="H620" i="3"/>
  <c r="K619" i="3"/>
  <c r="H619" i="3"/>
  <c r="K618" i="3"/>
  <c r="H618" i="3"/>
  <c r="K617" i="3"/>
  <c r="H617" i="3"/>
  <c r="K616" i="3"/>
  <c r="H616" i="3"/>
  <c r="K615" i="3"/>
  <c r="H615" i="3"/>
  <c r="K614" i="3"/>
  <c r="H614" i="3"/>
  <c r="K613" i="3"/>
  <c r="H613" i="3"/>
  <c r="K612" i="3"/>
  <c r="H612" i="3"/>
  <c r="K611" i="3"/>
  <c r="H611" i="3"/>
  <c r="K610" i="3"/>
  <c r="H610" i="3"/>
  <c r="K609" i="3"/>
  <c r="H609" i="3"/>
  <c r="K608" i="3"/>
  <c r="H608" i="3"/>
  <c r="K607" i="3"/>
  <c r="H607" i="3"/>
  <c r="K606" i="3"/>
  <c r="H606" i="3"/>
  <c r="K605" i="3"/>
  <c r="H605" i="3"/>
  <c r="K604" i="3"/>
  <c r="H604" i="3"/>
  <c r="K603" i="3"/>
  <c r="H603" i="3"/>
  <c r="K602" i="3"/>
  <c r="H602" i="3"/>
  <c r="K601" i="3"/>
  <c r="H601" i="3"/>
  <c r="K600" i="3"/>
  <c r="H600" i="3"/>
  <c r="K599" i="3"/>
  <c r="H599" i="3"/>
  <c r="K598" i="3"/>
  <c r="H598" i="3"/>
  <c r="K597" i="3"/>
  <c r="H597" i="3"/>
  <c r="K596" i="3"/>
  <c r="H596" i="3"/>
  <c r="K595" i="3"/>
  <c r="H595" i="3"/>
  <c r="K594" i="3"/>
  <c r="H594" i="3"/>
  <c r="K593" i="3"/>
  <c r="H593" i="3"/>
  <c r="K592" i="3"/>
  <c r="H592" i="3"/>
  <c r="K591" i="3"/>
  <c r="H591" i="3"/>
  <c r="K590" i="3"/>
  <c r="H590" i="3"/>
  <c r="K589" i="3"/>
  <c r="H589" i="3"/>
  <c r="K588" i="3"/>
  <c r="H588" i="3"/>
  <c r="K587" i="3"/>
  <c r="H587" i="3"/>
  <c r="K586" i="3"/>
  <c r="H586" i="3"/>
  <c r="O15" i="4" s="1"/>
  <c r="P15" i="4" s="1"/>
  <c r="Q15" i="4" s="1"/>
  <c r="K585" i="3"/>
  <c r="H585" i="3"/>
  <c r="K584" i="3"/>
  <c r="H584" i="3"/>
  <c r="K583" i="3"/>
  <c r="H583" i="3"/>
  <c r="K582" i="3"/>
  <c r="H582" i="3"/>
  <c r="K581" i="3"/>
  <c r="H581" i="3"/>
  <c r="K580" i="3"/>
  <c r="H580" i="3"/>
  <c r="K579" i="3"/>
  <c r="H579" i="3"/>
  <c r="K578" i="3"/>
  <c r="H578" i="3"/>
  <c r="K577" i="3"/>
  <c r="H577" i="3"/>
  <c r="K576" i="3"/>
  <c r="H576" i="3"/>
  <c r="K575" i="3"/>
  <c r="H575" i="3"/>
  <c r="K574" i="3"/>
  <c r="H574" i="3"/>
  <c r="K573" i="3"/>
  <c r="H573" i="3"/>
  <c r="K572" i="3"/>
  <c r="H572" i="3"/>
  <c r="K571" i="3"/>
  <c r="H571" i="3"/>
  <c r="K570" i="3"/>
  <c r="H570" i="3"/>
  <c r="K569" i="3"/>
  <c r="H569" i="3"/>
  <c r="K568" i="3"/>
  <c r="H568" i="3"/>
  <c r="K567" i="3"/>
  <c r="H567" i="3"/>
  <c r="K566" i="3"/>
  <c r="H566" i="3"/>
  <c r="K565" i="3"/>
  <c r="H565" i="3"/>
  <c r="K564" i="3"/>
  <c r="H564" i="3"/>
  <c r="K563" i="3"/>
  <c r="H563" i="3"/>
  <c r="K562" i="3"/>
  <c r="H562" i="3"/>
  <c r="K561" i="3"/>
  <c r="H561" i="3"/>
  <c r="K560" i="3"/>
  <c r="H560" i="3"/>
  <c r="K559" i="3"/>
  <c r="H559" i="3"/>
  <c r="K558" i="3"/>
  <c r="H558" i="3"/>
  <c r="K557" i="3"/>
  <c r="H557" i="3"/>
  <c r="K556" i="3"/>
  <c r="H556" i="3"/>
  <c r="K555" i="3"/>
  <c r="H555" i="3"/>
  <c r="K554" i="3"/>
  <c r="H554" i="3"/>
  <c r="K553" i="3"/>
  <c r="H553" i="3"/>
  <c r="K552" i="3"/>
  <c r="H552" i="3"/>
  <c r="K551" i="3"/>
  <c r="H551" i="3"/>
  <c r="K550" i="3"/>
  <c r="H550" i="3"/>
  <c r="K549" i="3"/>
  <c r="H549" i="3"/>
  <c r="K548" i="3"/>
  <c r="H548" i="3"/>
  <c r="K547" i="3"/>
  <c r="H547" i="3"/>
  <c r="K546" i="3"/>
  <c r="H546" i="3"/>
  <c r="K545" i="3"/>
  <c r="H545" i="3"/>
  <c r="K544" i="3"/>
  <c r="H544" i="3"/>
  <c r="K543" i="3"/>
  <c r="H543" i="3"/>
  <c r="K542" i="3"/>
  <c r="H542" i="3"/>
  <c r="K541" i="3"/>
  <c r="H541" i="3"/>
  <c r="K540" i="3"/>
  <c r="H540" i="3"/>
  <c r="K539" i="3"/>
  <c r="H539" i="3"/>
  <c r="K538" i="3"/>
  <c r="H538" i="3"/>
  <c r="H537" i="3"/>
  <c r="K536" i="3"/>
  <c r="H536" i="3"/>
  <c r="K535" i="3"/>
  <c r="H535" i="3"/>
  <c r="K534" i="3"/>
  <c r="H534" i="3"/>
  <c r="K533" i="3"/>
  <c r="H533" i="3"/>
  <c r="K532" i="3"/>
  <c r="H532" i="3"/>
  <c r="K531" i="3"/>
  <c r="H531" i="3"/>
  <c r="K530" i="3"/>
  <c r="H530" i="3"/>
  <c r="K529" i="3"/>
  <c r="H529" i="3"/>
  <c r="O14" i="4" s="1"/>
  <c r="P14" i="4" s="1"/>
  <c r="Q14" i="4" s="1"/>
  <c r="K528" i="3"/>
  <c r="H528" i="3"/>
  <c r="K527" i="3"/>
  <c r="H527" i="3"/>
  <c r="K526" i="3"/>
  <c r="H526" i="3"/>
  <c r="K525" i="3"/>
  <c r="H525" i="3"/>
  <c r="K524" i="3"/>
  <c r="H524" i="3"/>
  <c r="K523" i="3"/>
  <c r="H523" i="3"/>
  <c r="K522" i="3"/>
  <c r="H522" i="3"/>
  <c r="K521" i="3"/>
  <c r="H521" i="3"/>
  <c r="K520" i="3"/>
  <c r="H520" i="3"/>
  <c r="K519" i="3"/>
  <c r="H519" i="3"/>
  <c r="K518" i="3"/>
  <c r="H518" i="3"/>
  <c r="K517" i="3"/>
  <c r="H517" i="3"/>
  <c r="K516" i="3"/>
  <c r="H516" i="3"/>
  <c r="K515" i="3"/>
  <c r="H515" i="3"/>
  <c r="K514" i="3"/>
  <c r="H514" i="3"/>
  <c r="K513" i="3"/>
  <c r="H513" i="3"/>
  <c r="K512" i="3"/>
  <c r="H512" i="3"/>
  <c r="K511" i="3"/>
  <c r="H511" i="3"/>
  <c r="K510" i="3"/>
  <c r="H510" i="3"/>
  <c r="K509" i="3"/>
  <c r="H509" i="3"/>
  <c r="K508" i="3"/>
  <c r="H508" i="3"/>
  <c r="K507" i="3"/>
  <c r="H507" i="3"/>
  <c r="K506" i="3"/>
  <c r="H506" i="3"/>
  <c r="K505" i="3"/>
  <c r="H505" i="3"/>
  <c r="K504" i="3"/>
  <c r="H504" i="3"/>
  <c r="K503" i="3"/>
  <c r="H503" i="3"/>
  <c r="K502" i="3"/>
  <c r="H502" i="3"/>
  <c r="K501" i="3"/>
  <c r="H501" i="3"/>
  <c r="K500" i="3"/>
  <c r="H500" i="3"/>
  <c r="K499" i="3"/>
  <c r="H499" i="3"/>
  <c r="K498" i="3"/>
  <c r="H498" i="3"/>
  <c r="K497" i="3"/>
  <c r="H497" i="3"/>
  <c r="K496" i="3"/>
  <c r="H496" i="3"/>
  <c r="K495" i="3"/>
  <c r="H495" i="3"/>
  <c r="K494" i="3"/>
  <c r="H494" i="3"/>
  <c r="K493" i="3"/>
  <c r="H493" i="3"/>
  <c r="K492" i="3"/>
  <c r="H492" i="3"/>
  <c r="K491" i="3"/>
  <c r="H491" i="3"/>
  <c r="K490" i="3"/>
  <c r="H490" i="3"/>
  <c r="K489" i="3"/>
  <c r="H489" i="3"/>
  <c r="K488" i="3"/>
  <c r="H488" i="3"/>
  <c r="K487" i="3"/>
  <c r="H487" i="3"/>
  <c r="K486" i="3"/>
  <c r="H486" i="3"/>
  <c r="K485" i="3"/>
  <c r="H485" i="3"/>
  <c r="O13" i="4" s="1"/>
  <c r="P13" i="4" s="1"/>
  <c r="Q13" i="4" s="1"/>
  <c r="K484" i="3"/>
  <c r="H484" i="3"/>
  <c r="K483" i="3"/>
  <c r="H483" i="3"/>
  <c r="K482" i="3"/>
  <c r="H482" i="3"/>
  <c r="K481" i="3"/>
  <c r="H481" i="3"/>
  <c r="K480" i="3"/>
  <c r="H480" i="3"/>
  <c r="K479" i="3"/>
  <c r="H479" i="3"/>
  <c r="K478" i="3"/>
  <c r="H478" i="3"/>
  <c r="K477" i="3"/>
  <c r="H477" i="3"/>
  <c r="K476" i="3"/>
  <c r="H476" i="3"/>
  <c r="K475" i="3"/>
  <c r="H475" i="3"/>
  <c r="K474" i="3"/>
  <c r="H474" i="3"/>
  <c r="K473" i="3"/>
  <c r="H473" i="3"/>
  <c r="K472" i="3"/>
  <c r="H472" i="3"/>
  <c r="K471" i="3"/>
  <c r="H471" i="3"/>
  <c r="K470" i="3"/>
  <c r="H470" i="3"/>
  <c r="K469" i="3"/>
  <c r="H469" i="3"/>
  <c r="K468" i="3"/>
  <c r="H468" i="3"/>
  <c r="K467" i="3"/>
  <c r="H467" i="3"/>
  <c r="K466" i="3"/>
  <c r="H466" i="3"/>
  <c r="K465" i="3"/>
  <c r="H465" i="3"/>
  <c r="K464" i="3"/>
  <c r="H464" i="3"/>
  <c r="K463" i="3"/>
  <c r="H463" i="3"/>
  <c r="K462" i="3"/>
  <c r="H462" i="3"/>
  <c r="K461" i="3"/>
  <c r="H461" i="3"/>
  <c r="K460" i="3"/>
  <c r="H460" i="3"/>
  <c r="K459" i="3"/>
  <c r="H459" i="3"/>
  <c r="K458" i="3"/>
  <c r="H458" i="3"/>
  <c r="K457" i="3"/>
  <c r="H457" i="3"/>
  <c r="K456" i="3"/>
  <c r="H456" i="3"/>
  <c r="K455" i="3"/>
  <c r="H455" i="3"/>
  <c r="K454" i="3"/>
  <c r="H454" i="3"/>
  <c r="K453" i="3"/>
  <c r="H453" i="3"/>
  <c r="K452" i="3"/>
  <c r="H452" i="3"/>
  <c r="K451" i="3"/>
  <c r="H451" i="3"/>
  <c r="K450" i="3"/>
  <c r="H450" i="3"/>
  <c r="K449" i="3"/>
  <c r="H449" i="3"/>
  <c r="K448" i="3"/>
  <c r="H448" i="3"/>
  <c r="K447" i="3"/>
  <c r="H447" i="3"/>
  <c r="K446" i="3"/>
  <c r="H446" i="3"/>
  <c r="K445" i="3"/>
  <c r="H445" i="3"/>
  <c r="K444" i="3"/>
  <c r="H444" i="3"/>
  <c r="K443" i="3"/>
  <c r="H443" i="3"/>
  <c r="K442" i="3"/>
  <c r="H442" i="3"/>
  <c r="K441" i="3"/>
  <c r="H441" i="3"/>
  <c r="O12" i="4" s="1"/>
  <c r="P12" i="4" s="1"/>
  <c r="Q12" i="4" s="1"/>
  <c r="K440" i="3"/>
  <c r="H440" i="3"/>
  <c r="K439" i="3"/>
  <c r="H439" i="3"/>
  <c r="K438" i="3"/>
  <c r="H438" i="3"/>
  <c r="K437" i="3"/>
  <c r="H437" i="3"/>
  <c r="K436" i="3"/>
  <c r="H436" i="3"/>
  <c r="K435" i="3"/>
  <c r="H435" i="3"/>
  <c r="K434" i="3"/>
  <c r="H434" i="3"/>
  <c r="K433" i="3"/>
  <c r="H433" i="3"/>
  <c r="K432" i="3"/>
  <c r="H432" i="3"/>
  <c r="K431" i="3"/>
  <c r="H431" i="3"/>
  <c r="K430" i="3"/>
  <c r="H430" i="3"/>
  <c r="K429" i="3"/>
  <c r="H429" i="3"/>
  <c r="K428" i="3"/>
  <c r="H428" i="3"/>
  <c r="K427" i="3"/>
  <c r="H427" i="3"/>
  <c r="K426" i="3"/>
  <c r="H426" i="3"/>
  <c r="K425" i="3"/>
  <c r="H425" i="3"/>
  <c r="K424" i="3"/>
  <c r="H424" i="3"/>
  <c r="K423" i="3"/>
  <c r="H423" i="3"/>
  <c r="K422" i="3"/>
  <c r="H422" i="3"/>
  <c r="K421" i="3"/>
  <c r="H421" i="3"/>
  <c r="K420" i="3"/>
  <c r="H420" i="3"/>
  <c r="K419" i="3"/>
  <c r="H419" i="3"/>
  <c r="K418" i="3"/>
  <c r="H418" i="3"/>
  <c r="K417" i="3"/>
  <c r="H417" i="3"/>
  <c r="K416" i="3"/>
  <c r="H416" i="3"/>
  <c r="K415" i="3"/>
  <c r="H415" i="3"/>
  <c r="K414" i="3"/>
  <c r="H414" i="3"/>
  <c r="K413" i="3"/>
  <c r="H413" i="3"/>
  <c r="K412" i="3"/>
  <c r="H412" i="3"/>
  <c r="K411" i="3"/>
  <c r="H411" i="3"/>
  <c r="K410" i="3"/>
  <c r="H410" i="3"/>
  <c r="K409" i="3"/>
  <c r="H409" i="3"/>
  <c r="K408" i="3"/>
  <c r="H408" i="3"/>
  <c r="K407" i="3"/>
  <c r="H407" i="3"/>
  <c r="K406" i="3"/>
  <c r="H406" i="3"/>
  <c r="K405" i="3"/>
  <c r="H405" i="3"/>
  <c r="K404" i="3"/>
  <c r="H404" i="3"/>
  <c r="O11" i="4" s="1"/>
  <c r="P11" i="4" s="1"/>
  <c r="Q11" i="4" s="1"/>
  <c r="K403" i="3"/>
  <c r="H403" i="3"/>
  <c r="K402" i="3"/>
  <c r="H402" i="3"/>
  <c r="K401" i="3"/>
  <c r="H401" i="3"/>
  <c r="K400" i="3"/>
  <c r="H400" i="3"/>
  <c r="K399" i="3"/>
  <c r="H399" i="3"/>
  <c r="K398" i="3"/>
  <c r="H398" i="3"/>
  <c r="K397" i="3"/>
  <c r="H397" i="3"/>
  <c r="K396" i="3"/>
  <c r="H396" i="3"/>
  <c r="K395" i="3"/>
  <c r="H395" i="3"/>
  <c r="K394" i="3"/>
  <c r="H394" i="3"/>
  <c r="K393" i="3"/>
  <c r="H393" i="3"/>
  <c r="K392" i="3"/>
  <c r="H392" i="3"/>
  <c r="K391" i="3"/>
  <c r="H391" i="3"/>
  <c r="K390" i="3"/>
  <c r="H390" i="3"/>
  <c r="K389" i="3"/>
  <c r="H389" i="3"/>
  <c r="K388" i="3"/>
  <c r="H388" i="3"/>
  <c r="K387" i="3"/>
  <c r="H387" i="3"/>
  <c r="K386" i="3"/>
  <c r="H386" i="3"/>
  <c r="K385" i="3"/>
  <c r="H385" i="3"/>
  <c r="K384" i="3"/>
  <c r="H384" i="3"/>
  <c r="K383" i="3"/>
  <c r="H383" i="3"/>
  <c r="K382" i="3"/>
  <c r="H382" i="3"/>
  <c r="K381" i="3"/>
  <c r="H381" i="3"/>
  <c r="K380" i="3"/>
  <c r="H380" i="3"/>
  <c r="K379" i="3"/>
  <c r="H379" i="3"/>
  <c r="K378" i="3"/>
  <c r="H378" i="3"/>
  <c r="K377" i="3"/>
  <c r="H377" i="3"/>
  <c r="K376" i="3"/>
  <c r="H376" i="3"/>
  <c r="K375" i="3"/>
  <c r="H375" i="3"/>
  <c r="K374" i="3"/>
  <c r="H374" i="3"/>
  <c r="K373" i="3"/>
  <c r="H373" i="3"/>
  <c r="K372" i="3"/>
  <c r="H372" i="3"/>
  <c r="K371" i="3"/>
  <c r="H371" i="3"/>
  <c r="K370" i="3"/>
  <c r="H370" i="3"/>
  <c r="K369" i="3"/>
  <c r="H369" i="3"/>
  <c r="K368" i="3"/>
  <c r="H368" i="3"/>
  <c r="K367" i="3"/>
  <c r="H367" i="3"/>
  <c r="K366" i="3"/>
  <c r="H366" i="3"/>
  <c r="K365" i="3"/>
  <c r="H365" i="3"/>
  <c r="O10" i="4" s="1"/>
  <c r="P10" i="4" s="1"/>
  <c r="Q10" i="4" s="1"/>
  <c r="K364" i="3"/>
  <c r="H364" i="3"/>
  <c r="K363" i="3"/>
  <c r="H363" i="3"/>
  <c r="K362" i="3"/>
  <c r="H362" i="3"/>
  <c r="K361" i="3"/>
  <c r="H361" i="3"/>
  <c r="K360" i="3"/>
  <c r="H360" i="3"/>
  <c r="K359" i="3"/>
  <c r="H359" i="3"/>
  <c r="K358" i="3"/>
  <c r="H358" i="3"/>
  <c r="K357" i="3"/>
  <c r="H357" i="3"/>
  <c r="K356" i="3"/>
  <c r="H356" i="3"/>
  <c r="K355" i="3"/>
  <c r="H355" i="3"/>
  <c r="K354" i="3"/>
  <c r="H354" i="3"/>
  <c r="K353" i="3"/>
  <c r="H353" i="3"/>
  <c r="K352" i="3"/>
  <c r="H352" i="3"/>
  <c r="K351" i="3"/>
  <c r="H351" i="3"/>
  <c r="K350" i="3"/>
  <c r="H350" i="3"/>
  <c r="K349" i="3"/>
  <c r="H349" i="3"/>
  <c r="K348" i="3"/>
  <c r="H348" i="3"/>
  <c r="K347" i="3"/>
  <c r="H347" i="3"/>
  <c r="K346" i="3"/>
  <c r="H346" i="3"/>
  <c r="K345" i="3"/>
  <c r="H345" i="3"/>
  <c r="K344" i="3"/>
  <c r="H344" i="3"/>
  <c r="K343" i="3"/>
  <c r="H343" i="3"/>
  <c r="K342" i="3"/>
  <c r="H342" i="3"/>
  <c r="K341" i="3"/>
  <c r="H341" i="3"/>
  <c r="K340" i="3"/>
  <c r="H340" i="3"/>
  <c r="K339" i="3"/>
  <c r="H339" i="3"/>
  <c r="K338" i="3"/>
  <c r="H338" i="3"/>
  <c r="K337" i="3"/>
  <c r="H337" i="3"/>
  <c r="K336" i="3"/>
  <c r="H336" i="3"/>
  <c r="K335" i="3"/>
  <c r="H335" i="3"/>
  <c r="K334" i="3"/>
  <c r="H334" i="3"/>
  <c r="K333" i="3"/>
  <c r="H333" i="3"/>
  <c r="K332" i="3"/>
  <c r="H332" i="3"/>
  <c r="K331" i="3"/>
  <c r="H331" i="3"/>
  <c r="K330" i="3"/>
  <c r="H330" i="3"/>
  <c r="K329" i="3"/>
  <c r="H329" i="3"/>
  <c r="K328" i="3"/>
  <c r="H328" i="3"/>
  <c r="K327" i="3"/>
  <c r="H327" i="3"/>
  <c r="K326" i="3"/>
  <c r="H326" i="3"/>
  <c r="K325" i="3"/>
  <c r="H325" i="3"/>
  <c r="K324" i="3"/>
  <c r="H324" i="3"/>
  <c r="K323" i="3"/>
  <c r="H323" i="3"/>
  <c r="O9" i="4" s="1"/>
  <c r="P9" i="4" s="1"/>
  <c r="Q9" i="4" s="1"/>
  <c r="K322" i="3"/>
  <c r="H322" i="3"/>
  <c r="K321" i="3"/>
  <c r="H321" i="3"/>
  <c r="K320" i="3"/>
  <c r="H320" i="3"/>
  <c r="K319" i="3"/>
  <c r="H319" i="3"/>
  <c r="K318" i="3"/>
  <c r="H318" i="3"/>
  <c r="K317" i="3"/>
  <c r="H317" i="3"/>
  <c r="K316" i="3"/>
  <c r="H316" i="3"/>
  <c r="K315" i="3"/>
  <c r="H315" i="3"/>
  <c r="K314" i="3"/>
  <c r="H314" i="3"/>
  <c r="K313" i="3"/>
  <c r="H313" i="3"/>
  <c r="K312" i="3"/>
  <c r="H312" i="3"/>
  <c r="K311" i="3"/>
  <c r="H311" i="3"/>
  <c r="K310" i="3"/>
  <c r="H310" i="3"/>
  <c r="K309" i="3"/>
  <c r="H309" i="3"/>
  <c r="K308" i="3"/>
  <c r="H308" i="3"/>
  <c r="K307" i="3"/>
  <c r="H307" i="3"/>
  <c r="K306" i="3"/>
  <c r="H306" i="3"/>
  <c r="K305" i="3"/>
  <c r="H305" i="3"/>
  <c r="K304" i="3"/>
  <c r="H304" i="3"/>
  <c r="K303" i="3"/>
  <c r="H303" i="3"/>
  <c r="K302" i="3"/>
  <c r="H302" i="3"/>
  <c r="K301" i="3"/>
  <c r="H301" i="3"/>
  <c r="K300" i="3"/>
  <c r="H300" i="3"/>
  <c r="K299" i="3"/>
  <c r="H299" i="3"/>
  <c r="K298" i="3"/>
  <c r="H298" i="3"/>
  <c r="K297" i="3"/>
  <c r="H297" i="3"/>
  <c r="K296" i="3"/>
  <c r="H296" i="3"/>
  <c r="K295" i="3"/>
  <c r="H295" i="3"/>
  <c r="K294" i="3"/>
  <c r="H294" i="3"/>
  <c r="K293" i="3"/>
  <c r="H293" i="3"/>
  <c r="K292" i="3"/>
  <c r="H292" i="3"/>
  <c r="K291" i="3"/>
  <c r="H291" i="3"/>
  <c r="K290" i="3"/>
  <c r="H290" i="3"/>
  <c r="K289" i="3"/>
  <c r="H289" i="3"/>
  <c r="K288" i="3"/>
  <c r="H288" i="3"/>
  <c r="K287" i="3"/>
  <c r="H287" i="3"/>
  <c r="K286" i="3"/>
  <c r="H286" i="3"/>
  <c r="K285" i="3"/>
  <c r="H285" i="3"/>
  <c r="K284" i="3"/>
  <c r="H284" i="3"/>
  <c r="K283" i="3"/>
  <c r="H283" i="3"/>
  <c r="K282" i="3"/>
  <c r="H282" i="3"/>
  <c r="K281" i="3"/>
  <c r="H281" i="3"/>
  <c r="K280" i="3"/>
  <c r="H280" i="3"/>
  <c r="K279" i="3"/>
  <c r="H279" i="3"/>
  <c r="K278" i="3"/>
  <c r="H278" i="3"/>
  <c r="K277" i="3"/>
  <c r="H277" i="3"/>
  <c r="K276" i="3"/>
  <c r="H276" i="3"/>
  <c r="K275" i="3"/>
  <c r="H275" i="3"/>
  <c r="K274" i="3"/>
  <c r="H274" i="3"/>
  <c r="K273" i="3"/>
  <c r="H273" i="3"/>
  <c r="K272" i="3"/>
  <c r="H272" i="3"/>
  <c r="K271" i="3"/>
  <c r="H271" i="3"/>
  <c r="K270" i="3"/>
  <c r="H270" i="3"/>
  <c r="K269" i="3"/>
  <c r="H269" i="3"/>
  <c r="O8" i="4" s="1"/>
  <c r="P8" i="4" s="1"/>
  <c r="Q8" i="4" s="1"/>
  <c r="K268" i="3"/>
  <c r="H268" i="3"/>
  <c r="K267" i="3"/>
  <c r="H267" i="3"/>
  <c r="K266" i="3"/>
  <c r="H266" i="3"/>
  <c r="K265" i="3"/>
  <c r="H265" i="3"/>
  <c r="K264" i="3"/>
  <c r="H264" i="3"/>
  <c r="K263" i="3"/>
  <c r="H263" i="3"/>
  <c r="K262" i="3"/>
  <c r="H262" i="3"/>
  <c r="K261" i="3"/>
  <c r="H261" i="3"/>
  <c r="K260" i="3"/>
  <c r="H260" i="3"/>
  <c r="K259" i="3"/>
  <c r="H259" i="3"/>
  <c r="K258" i="3"/>
  <c r="H258" i="3"/>
  <c r="K257" i="3"/>
  <c r="H257" i="3"/>
  <c r="K256" i="3"/>
  <c r="H256" i="3"/>
  <c r="K255" i="3"/>
  <c r="H255" i="3"/>
  <c r="K254" i="3"/>
  <c r="H254" i="3"/>
  <c r="K253" i="3"/>
  <c r="H253" i="3"/>
  <c r="K252" i="3"/>
  <c r="H252" i="3"/>
  <c r="K251" i="3"/>
  <c r="H251" i="3"/>
  <c r="K250" i="3"/>
  <c r="H250" i="3"/>
  <c r="K249" i="3"/>
  <c r="H249" i="3"/>
  <c r="K248" i="3"/>
  <c r="H248" i="3"/>
  <c r="K247" i="3"/>
  <c r="H247" i="3"/>
  <c r="K246" i="3"/>
  <c r="H246" i="3"/>
  <c r="K245" i="3"/>
  <c r="H245" i="3"/>
  <c r="K244" i="3"/>
  <c r="H244" i="3"/>
  <c r="K243" i="3"/>
  <c r="H243" i="3"/>
  <c r="K242" i="3"/>
  <c r="H242" i="3"/>
  <c r="K241" i="3"/>
  <c r="H241" i="3"/>
  <c r="K240" i="3"/>
  <c r="H240" i="3"/>
  <c r="K239" i="3"/>
  <c r="H239" i="3"/>
  <c r="K238" i="3"/>
  <c r="H238" i="3"/>
  <c r="K237" i="3"/>
  <c r="H237" i="3"/>
  <c r="K236" i="3"/>
  <c r="H236" i="3"/>
  <c r="O7" i="4" s="1"/>
  <c r="P7" i="4" s="1"/>
  <c r="Q7" i="4" s="1"/>
  <c r="K235" i="3"/>
  <c r="H235" i="3"/>
  <c r="K234" i="3"/>
  <c r="H234" i="3"/>
  <c r="K233" i="3"/>
  <c r="H233" i="3"/>
  <c r="K232" i="3"/>
  <c r="H232" i="3"/>
  <c r="K231" i="3"/>
  <c r="H231" i="3"/>
  <c r="K230" i="3"/>
  <c r="H230" i="3"/>
  <c r="K229" i="3"/>
  <c r="H229" i="3"/>
  <c r="K228" i="3"/>
  <c r="H228" i="3"/>
  <c r="K227" i="3"/>
  <c r="H227" i="3"/>
  <c r="K226" i="3"/>
  <c r="H226" i="3"/>
  <c r="K225" i="3"/>
  <c r="H225" i="3"/>
  <c r="K224" i="3"/>
  <c r="H224" i="3"/>
  <c r="K223" i="3"/>
  <c r="H223" i="3"/>
  <c r="K222" i="3"/>
  <c r="H222" i="3"/>
  <c r="K221" i="3"/>
  <c r="H221" i="3"/>
  <c r="K220" i="3"/>
  <c r="H220" i="3"/>
  <c r="K219" i="3"/>
  <c r="H219" i="3"/>
  <c r="K218" i="3"/>
  <c r="H218" i="3"/>
  <c r="K217" i="3"/>
  <c r="H217" i="3"/>
  <c r="K216" i="3"/>
  <c r="H216" i="3"/>
  <c r="K215" i="3"/>
  <c r="H215" i="3"/>
  <c r="K214" i="3"/>
  <c r="H214" i="3"/>
  <c r="K213" i="3"/>
  <c r="H213" i="3"/>
  <c r="K212" i="3"/>
  <c r="H212" i="3"/>
  <c r="K211" i="3"/>
  <c r="H211" i="3"/>
  <c r="K210" i="3"/>
  <c r="H210" i="3"/>
  <c r="K209" i="3"/>
  <c r="H209" i="3"/>
  <c r="K208" i="3"/>
  <c r="H208" i="3"/>
  <c r="K207" i="3"/>
  <c r="H207" i="3"/>
  <c r="K206" i="3"/>
  <c r="H206" i="3"/>
  <c r="K205" i="3"/>
  <c r="H205" i="3"/>
  <c r="K204" i="3"/>
  <c r="H204" i="3"/>
  <c r="K203" i="3"/>
  <c r="H203" i="3"/>
  <c r="K202" i="3"/>
  <c r="H202" i="3"/>
  <c r="K201" i="3"/>
  <c r="H201" i="3"/>
  <c r="K200" i="3"/>
  <c r="H200" i="3"/>
  <c r="K199" i="3"/>
  <c r="H199" i="3"/>
  <c r="K198" i="3"/>
  <c r="H198" i="3"/>
  <c r="K197" i="3"/>
  <c r="H197" i="3"/>
  <c r="K196" i="3"/>
  <c r="H196" i="3"/>
  <c r="K195" i="3"/>
  <c r="H195" i="3"/>
  <c r="K194" i="3"/>
  <c r="H194" i="3"/>
  <c r="K193" i="3"/>
  <c r="H193" i="3"/>
  <c r="K192" i="3"/>
  <c r="H192" i="3"/>
  <c r="O6" i="4" s="1"/>
  <c r="P6" i="4" s="1"/>
  <c r="Q6" i="4" s="1"/>
  <c r="K191" i="3"/>
  <c r="H191" i="3"/>
  <c r="K190" i="3"/>
  <c r="H190" i="3"/>
  <c r="K189" i="3"/>
  <c r="H189" i="3"/>
  <c r="K188" i="3"/>
  <c r="H188" i="3"/>
  <c r="K187" i="3"/>
  <c r="H187" i="3"/>
  <c r="K186" i="3"/>
  <c r="H186" i="3"/>
  <c r="K185" i="3"/>
  <c r="H185" i="3"/>
  <c r="K184" i="3"/>
  <c r="H184" i="3"/>
  <c r="K183" i="3"/>
  <c r="H183" i="3"/>
  <c r="K182" i="3"/>
  <c r="H182" i="3"/>
  <c r="K181" i="3"/>
  <c r="H181" i="3"/>
  <c r="K180" i="3"/>
  <c r="H180" i="3"/>
  <c r="K179" i="3"/>
  <c r="H179" i="3"/>
  <c r="K178" i="3"/>
  <c r="H178" i="3"/>
  <c r="K177" i="3"/>
  <c r="H177" i="3"/>
  <c r="K176" i="3"/>
  <c r="H176" i="3"/>
  <c r="K175" i="3"/>
  <c r="H175" i="3"/>
  <c r="K174" i="3"/>
  <c r="H174" i="3"/>
  <c r="K173" i="3"/>
  <c r="H173" i="3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H166" i="3"/>
  <c r="K165" i="3"/>
  <c r="H165" i="3"/>
  <c r="K164" i="3"/>
  <c r="H164" i="3"/>
  <c r="K163" i="3"/>
  <c r="H163" i="3"/>
  <c r="K162" i="3"/>
  <c r="H162" i="3"/>
  <c r="K161" i="3"/>
  <c r="H161" i="3"/>
  <c r="K160" i="3"/>
  <c r="H160" i="3"/>
  <c r="K159" i="3"/>
  <c r="H159" i="3"/>
  <c r="K158" i="3"/>
  <c r="H158" i="3"/>
  <c r="O5" i="4" s="1"/>
  <c r="P5" i="4" s="1"/>
  <c r="Q5" i="4" s="1"/>
  <c r="K157" i="3"/>
  <c r="H157" i="3"/>
  <c r="K156" i="3"/>
  <c r="H156" i="3"/>
  <c r="K155" i="3"/>
  <c r="H155" i="3"/>
  <c r="K154" i="3"/>
  <c r="H154" i="3"/>
  <c r="K153" i="3"/>
  <c r="H153" i="3"/>
  <c r="K152" i="3"/>
  <c r="H152" i="3"/>
  <c r="K151" i="3"/>
  <c r="H151" i="3"/>
  <c r="K150" i="3"/>
  <c r="H150" i="3"/>
  <c r="K149" i="3"/>
  <c r="H149" i="3"/>
  <c r="K148" i="3"/>
  <c r="H148" i="3"/>
  <c r="K147" i="3"/>
  <c r="H147" i="3"/>
  <c r="K146" i="3"/>
  <c r="H146" i="3"/>
  <c r="K145" i="3"/>
  <c r="H145" i="3"/>
  <c r="K144" i="3"/>
  <c r="H144" i="3"/>
  <c r="K143" i="3"/>
  <c r="H143" i="3"/>
  <c r="K142" i="3"/>
  <c r="H142" i="3"/>
  <c r="K141" i="3"/>
  <c r="H141" i="3"/>
  <c r="K140" i="3"/>
  <c r="H140" i="3"/>
  <c r="K139" i="3"/>
  <c r="H139" i="3"/>
  <c r="K138" i="3"/>
  <c r="H138" i="3"/>
  <c r="K137" i="3"/>
  <c r="H137" i="3"/>
  <c r="K136" i="3"/>
  <c r="H136" i="3"/>
  <c r="K135" i="3"/>
  <c r="H135" i="3"/>
  <c r="K134" i="3"/>
  <c r="H134" i="3"/>
  <c r="K133" i="3"/>
  <c r="H133" i="3"/>
  <c r="K132" i="3"/>
  <c r="H132" i="3"/>
  <c r="K131" i="3"/>
  <c r="H131" i="3"/>
  <c r="K130" i="3"/>
  <c r="H130" i="3"/>
  <c r="K129" i="3"/>
  <c r="H129" i="3"/>
  <c r="K128" i="3"/>
  <c r="H128" i="3"/>
  <c r="K127" i="3"/>
  <c r="H127" i="3"/>
  <c r="K126" i="3"/>
  <c r="H126" i="3"/>
  <c r="K125" i="3"/>
  <c r="H125" i="3"/>
  <c r="K124" i="3"/>
  <c r="H124" i="3"/>
  <c r="K123" i="3"/>
  <c r="H123" i="3"/>
  <c r="K122" i="3"/>
  <c r="H122" i="3"/>
  <c r="K121" i="3"/>
  <c r="H121" i="3"/>
  <c r="K120" i="3"/>
  <c r="H120" i="3"/>
  <c r="K119" i="3"/>
  <c r="H119" i="3"/>
  <c r="K118" i="3"/>
  <c r="H118" i="3"/>
  <c r="K117" i="3"/>
  <c r="H117" i="3"/>
  <c r="K116" i="3"/>
  <c r="H116" i="3"/>
  <c r="K115" i="3"/>
  <c r="H115" i="3"/>
  <c r="K114" i="3"/>
  <c r="H114" i="3"/>
  <c r="K113" i="3"/>
  <c r="H113" i="3"/>
  <c r="K112" i="3"/>
  <c r="H112" i="3"/>
  <c r="K111" i="3"/>
  <c r="H111" i="3"/>
  <c r="K110" i="3"/>
  <c r="H110" i="3"/>
  <c r="K109" i="3"/>
  <c r="H109" i="3"/>
  <c r="K108" i="3"/>
  <c r="H108" i="3"/>
  <c r="K107" i="3"/>
  <c r="H107" i="3"/>
  <c r="K106" i="3"/>
  <c r="H106" i="3"/>
  <c r="K105" i="3"/>
  <c r="H105" i="3"/>
  <c r="K104" i="3"/>
  <c r="H104" i="3"/>
  <c r="K103" i="3"/>
  <c r="H103" i="3"/>
  <c r="K102" i="3"/>
  <c r="H102" i="3"/>
  <c r="O4" i="4" s="1"/>
  <c r="P4" i="4" s="1"/>
  <c r="Q4" i="4" s="1"/>
  <c r="K101" i="3"/>
  <c r="H101" i="3"/>
  <c r="K100" i="3"/>
  <c r="H100" i="3"/>
  <c r="K99" i="3"/>
  <c r="H99" i="3"/>
  <c r="K98" i="3"/>
  <c r="H98" i="3"/>
  <c r="K97" i="3"/>
  <c r="H97" i="3"/>
  <c r="K96" i="3"/>
  <c r="H96" i="3"/>
  <c r="K95" i="3"/>
  <c r="H95" i="3"/>
  <c r="K94" i="3"/>
  <c r="H94" i="3"/>
  <c r="K93" i="3"/>
  <c r="H93" i="3"/>
  <c r="K92" i="3"/>
  <c r="H92" i="3"/>
  <c r="K91" i="3"/>
  <c r="H91" i="3"/>
  <c r="K90" i="3"/>
  <c r="H90" i="3"/>
  <c r="K89" i="3"/>
  <c r="H89" i="3"/>
  <c r="K88" i="3"/>
  <c r="H88" i="3"/>
  <c r="K87" i="3"/>
  <c r="H87" i="3"/>
  <c r="K86" i="3"/>
  <c r="H86" i="3"/>
  <c r="K85" i="3"/>
  <c r="H85" i="3"/>
  <c r="K84" i="3"/>
  <c r="H84" i="3"/>
  <c r="K83" i="3"/>
  <c r="H83" i="3"/>
  <c r="K82" i="3"/>
  <c r="H82" i="3"/>
  <c r="K81" i="3"/>
  <c r="H81" i="3"/>
  <c r="K80" i="3"/>
  <c r="H80" i="3"/>
  <c r="K79" i="3"/>
  <c r="H79" i="3"/>
  <c r="K78" i="3"/>
  <c r="H78" i="3"/>
  <c r="K77" i="3"/>
  <c r="H77" i="3"/>
  <c r="K76" i="3"/>
  <c r="H76" i="3"/>
  <c r="K75" i="3"/>
  <c r="H75" i="3"/>
  <c r="K74" i="3"/>
  <c r="H74" i="3"/>
  <c r="K73" i="3"/>
  <c r="H73" i="3"/>
  <c r="K72" i="3"/>
  <c r="H72" i="3"/>
  <c r="K71" i="3"/>
  <c r="H71" i="3"/>
  <c r="K70" i="3"/>
  <c r="H70" i="3"/>
  <c r="K69" i="3"/>
  <c r="H69" i="3"/>
  <c r="K68" i="3"/>
  <c r="H68" i="3"/>
  <c r="K67" i="3"/>
  <c r="H67" i="3"/>
  <c r="K66" i="3"/>
  <c r="H66" i="3"/>
  <c r="K65" i="3"/>
  <c r="H65" i="3"/>
  <c r="K64" i="3"/>
  <c r="H64" i="3"/>
  <c r="K63" i="3"/>
  <c r="H63" i="3"/>
  <c r="K62" i="3"/>
  <c r="H62" i="3"/>
  <c r="K61" i="3"/>
  <c r="H61" i="3"/>
  <c r="K60" i="3"/>
  <c r="H60" i="3"/>
  <c r="K59" i="3"/>
  <c r="H59" i="3"/>
  <c r="K58" i="3"/>
  <c r="H58" i="3"/>
  <c r="K57" i="3"/>
  <c r="H57" i="3"/>
  <c r="K56" i="3"/>
  <c r="H56" i="3"/>
  <c r="K55" i="3"/>
  <c r="H55" i="3"/>
  <c r="K54" i="3"/>
  <c r="H54" i="3"/>
  <c r="K53" i="3"/>
  <c r="H53" i="3"/>
  <c r="K52" i="3"/>
  <c r="H52" i="3"/>
  <c r="K51" i="3"/>
  <c r="H51" i="3"/>
  <c r="O3" i="4" s="1"/>
  <c r="P3" i="4" s="1"/>
  <c r="Q3" i="4" s="1"/>
  <c r="K50" i="3"/>
  <c r="H50" i="3"/>
  <c r="K49" i="3"/>
  <c r="H49" i="3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H40" i="3"/>
  <c r="K39" i="3"/>
  <c r="H39" i="3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K28" i="3"/>
  <c r="H28" i="3"/>
  <c r="K27" i="3"/>
  <c r="H27" i="3"/>
  <c r="K26" i="3"/>
  <c r="H26" i="3"/>
  <c r="K25" i="3"/>
  <c r="H25" i="3"/>
  <c r="K24" i="3"/>
  <c r="H24" i="3"/>
  <c r="K23" i="3"/>
  <c r="H23" i="3"/>
  <c r="K22" i="3"/>
  <c r="H22" i="3"/>
  <c r="K21" i="3"/>
  <c r="H21" i="3"/>
  <c r="K20" i="3"/>
  <c r="H20" i="3"/>
  <c r="K19" i="3"/>
  <c r="H19" i="3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K4" i="3"/>
  <c r="H4" i="3"/>
  <c r="K3" i="3"/>
  <c r="H3" i="3"/>
  <c r="K2" i="3"/>
  <c r="B11" i="6" s="1"/>
  <c r="H2" i="3"/>
  <c r="O2" i="4" s="1"/>
  <c r="P2" i="4" l="1"/>
  <c r="Q2" i="4" s="1"/>
  <c r="O17" i="4"/>
  <c r="P17" i="4" s="1"/>
  <c r="Q17" i="4" s="1"/>
  <c r="N12" i="4"/>
  <c r="N16" i="4"/>
  <c r="N11" i="4"/>
  <c r="J13" i="4"/>
  <c r="B7" i="6"/>
  <c r="C17" i="6"/>
  <c r="B5" i="6"/>
</calcChain>
</file>

<file path=xl/sharedStrings.xml><?xml version="1.0" encoding="utf-8"?>
<sst xmlns="http://schemas.openxmlformats.org/spreadsheetml/2006/main" count="2696" uniqueCount="94">
  <si>
    <t>usuario_id</t>
  </si>
  <si>
    <t>timestamp</t>
  </si>
  <si>
    <t>letra (predicha)</t>
  </si>
  <si>
    <t>confianza</t>
  </si>
  <si>
    <t>modelo</t>
  </si>
  <si>
    <t>latencia_ms</t>
  </si>
  <si>
    <t>letra_ejecutada</t>
  </si>
  <si>
    <t>correcto</t>
  </si>
  <si>
    <t>evaluada_por_oyente (1=sí)</t>
  </si>
  <si>
    <t>letra_entendida_oyente</t>
  </si>
  <si>
    <t>comprendido</t>
  </si>
  <si>
    <t>Ñ</t>
  </si>
  <si>
    <t>DIN</t>
  </si>
  <si>
    <t>V</t>
  </si>
  <si>
    <t>EST</t>
  </si>
  <si>
    <t>P</t>
  </si>
  <si>
    <t>U</t>
  </si>
  <si>
    <t>S</t>
  </si>
  <si>
    <t>Q</t>
  </si>
  <si>
    <t>N</t>
  </si>
  <si>
    <t>Z</t>
  </si>
  <si>
    <t>Y</t>
  </si>
  <si>
    <t>F</t>
  </si>
  <si>
    <t>B</t>
  </si>
  <si>
    <t>L</t>
  </si>
  <si>
    <t>C</t>
  </si>
  <si>
    <t>G</t>
  </si>
  <si>
    <t>J</t>
  </si>
  <si>
    <t>W</t>
  </si>
  <si>
    <t>E</t>
  </si>
  <si>
    <t>I</t>
  </si>
  <si>
    <t>D</t>
  </si>
  <si>
    <t>K</t>
  </si>
  <si>
    <t>H</t>
  </si>
  <si>
    <t>T</t>
  </si>
  <si>
    <t>R</t>
  </si>
  <si>
    <t>O</t>
  </si>
  <si>
    <t>X</t>
  </si>
  <si>
    <t>A</t>
  </si>
  <si>
    <t>M</t>
  </si>
  <si>
    <t>timestamp_inicio</t>
  </si>
  <si>
    <t>timestamp_fin</t>
  </si>
  <si>
    <t>total_reconocimientos</t>
  </si>
  <si>
    <t>tiempo_prueba_segundos</t>
  </si>
  <si>
    <t>letras_unicas</t>
  </si>
  <si>
    <t>confianza_promedio</t>
  </si>
  <si>
    <t>confianza_min</t>
  </si>
  <si>
    <t>confianza_max</t>
  </si>
  <si>
    <t>confianza_std</t>
  </si>
  <si>
    <t>latencia_promedio_ms</t>
  </si>
  <si>
    <t>latencia_min_ms</t>
  </si>
  <si>
    <t>latencia_max_ms</t>
  </si>
  <si>
    <t>latencia_std_ms</t>
  </si>
  <si>
    <t>signos_correctos</t>
  </si>
  <si>
    <t>precision_%</t>
  </si>
  <si>
    <t>tasa_error_%</t>
  </si>
  <si>
    <t>Global</t>
  </si>
  <si>
    <t>Letra</t>
  </si>
  <si>
    <t>Reconocimientos</t>
  </si>
  <si>
    <t>Confianza Promedio</t>
  </si>
  <si>
    <t>Confianza Min</t>
  </si>
  <si>
    <t>Confianza Max</t>
  </si>
  <si>
    <t>Latencia Promedio (ms)</t>
  </si>
  <si>
    <t>Latencia Min (ms)</t>
  </si>
  <si>
    <t>Latencia Max (ms)</t>
  </si>
  <si>
    <t>Total de reconocimientos (debe igualar Detalle):</t>
  </si>
  <si>
    <t>Aviso: la letra de esta tabla es la predicha por el guante (como en tu formato original).</t>
  </si>
  <si>
    <t>Métrica</t>
  </si>
  <si>
    <t>Valor</t>
  </si>
  <si>
    <t>Unidad</t>
  </si>
  <si>
    <t>Cómo se calcula</t>
  </si>
  <si>
    <t>%</t>
  </si>
  <si>
    <t>PST = signos bien traducidos / total de signos ejecutados × 100</t>
  </si>
  <si>
    <t>PCM = mensajes comprendidos correctamente / total de mensajes evaluados × 100</t>
  </si>
  <si>
    <t>ms</t>
  </si>
  <si>
    <t>LPC = t_respuesta − t_ejecución, promediado sobre todos los signos</t>
  </si>
  <si>
    <t>TE = signos incorrectamente traducidos / total de signos ejecutados × 100</t>
  </si>
  <si>
    <t>Total de mensajes evaluados (letras evaluadas por el oyente)</t>
  </si>
  <si>
    <t>Mensajes comprendidos correctamente</t>
  </si>
  <si>
    <t>Control: PST + TE (debe ser 100)</t>
  </si>
  <si>
    <t>Desglose por tipo de modelo (según letra predicha)</t>
  </si>
  <si>
    <t>Modelo</t>
  </si>
  <si>
    <t>Signos</t>
  </si>
  <si>
    <t>Precisión (%)</t>
  </si>
  <si>
    <t>Latencia promedio (ms)</t>
  </si>
  <si>
    <t>EST (estáticas)</t>
  </si>
  <si>
    <t>DIN (dinámicas: J, Z, Ñ)</t>
  </si>
  <si>
    <t>Percepción de uso: proviene del cuestionario, no incluido en esta plantilla.</t>
  </si>
  <si>
    <t>Métricas de la variable dependiente</t>
  </si>
  <si>
    <t>Datos del receptor oyente (calculados desde Detalle, columnas I-K)</t>
  </si>
  <si>
    <t>Precisión de transmisión (PST)</t>
  </si>
  <si>
    <t>Comprensión del mensaje (PCM)</t>
  </si>
  <si>
    <t>Latencia promedio de comunicación (LPC)</t>
  </si>
  <si>
    <t>Tasa de error (TE)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</si>
</sst>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00"/>
  </numFmts>
  <fonts count="10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11"/>
      <name val="Arial"/>
      <charset val="1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2" xfId="0" applyFont="1" applyBorder="1"/>
    <xf numFmtId="2" fontId="6" fillId="3" borderId="2" xfId="0" applyNumberFormat="1" applyFont="1" applyFill="1" applyBorder="1" applyAlignment="1">
      <alignment horizontal="center" vertical="center"/>
    </xf>
    <xf numFmtId="0" fontId="1" fillId="0" borderId="2" xfId="0" applyFont="1" applyBorder="1"/>
    <xf numFmtId="2" fontId="1" fillId="0" borderId="2" xfId="0" applyNumberFormat="1" applyFont="1" applyBorder="1"/>
    <xf numFmtId="0" fontId="2" fillId="0" borderId="0" xfId="0" applyFont="1" applyBorder="1" applyAlignment="1"/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87"/>
  <sheetViews>
    <sheetView zoomScaleNormal="100" workbookViewId="0">
      <pane ySplit="1" topLeftCell="A26" activePane="bottomLeft" state="frozen"/>
      <selection pane="bottomLeft" activeCell="F2" sqref="F2"/>
    </sheetView>
  </sheetViews>
  <sheetFormatPr baseColWidth="10" defaultColWidth="8.7109375" defaultRowHeight="15" x14ac:dyDescent="0.25"/>
  <cols>
    <col min="1" max="1" width="11" style="11" customWidth="1"/>
    <col min="2" max="2" width="20" style="11" customWidth="1"/>
    <col min="3" max="4" width="11" style="11" customWidth="1"/>
    <col min="5" max="5" width="9" style="11" customWidth="1"/>
    <col min="6" max="6" width="13" style="11" customWidth="1"/>
    <col min="7" max="7" width="14" style="11" customWidth="1"/>
    <col min="8" max="8" width="10" style="11" customWidth="1"/>
    <col min="9" max="9" width="15" style="11" customWidth="1"/>
    <col min="10" max="10" width="17" style="11" customWidth="1"/>
    <col min="11" max="11" width="14" style="11" customWidth="1"/>
  </cols>
  <sheetData>
    <row r="1" spans="1:11" ht="4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3">
        <v>1</v>
      </c>
      <c r="B2" s="13">
        <v>46258.375034722201</v>
      </c>
      <c r="C2" s="3" t="s">
        <v>11</v>
      </c>
      <c r="D2" s="5">
        <v>0.879</v>
      </c>
      <c r="E2" s="3" t="s">
        <v>12</v>
      </c>
      <c r="F2" s="5">
        <v>123.80200000000001</v>
      </c>
      <c r="G2" s="3" t="s">
        <v>11</v>
      </c>
      <c r="H2" s="3">
        <f t="shared" ref="H2:H65" si="0">IF(C2=G2,1,0)</f>
        <v>1</v>
      </c>
      <c r="I2" s="3">
        <v>1</v>
      </c>
      <c r="J2" s="3" t="s">
        <v>11</v>
      </c>
      <c r="K2" s="3">
        <f t="shared" ref="K2:K65" si="1">IF(J2="","",IF(J2=G2,1,0))</f>
        <v>1</v>
      </c>
    </row>
    <row r="3" spans="1:11" x14ac:dyDescent="0.25">
      <c r="A3" s="3">
        <v>1</v>
      </c>
      <c r="B3" s="13">
        <v>46258.375185185199</v>
      </c>
      <c r="C3" s="3" t="s">
        <v>13</v>
      </c>
      <c r="D3" s="5">
        <v>0.88600000000000001</v>
      </c>
      <c r="E3" s="3" t="s">
        <v>14</v>
      </c>
      <c r="F3" s="5">
        <v>100.536</v>
      </c>
      <c r="G3" s="3" t="s">
        <v>13</v>
      </c>
      <c r="H3" s="3">
        <f t="shared" si="0"/>
        <v>1</v>
      </c>
      <c r="I3" s="3">
        <v>1</v>
      </c>
      <c r="J3" s="3" t="s">
        <v>13</v>
      </c>
      <c r="K3" s="3">
        <f t="shared" si="1"/>
        <v>1</v>
      </c>
    </row>
    <row r="4" spans="1:11" x14ac:dyDescent="0.25">
      <c r="A4" s="3">
        <v>1</v>
      </c>
      <c r="B4" s="13">
        <v>46258.3753587963</v>
      </c>
      <c r="C4" s="3" t="s">
        <v>15</v>
      </c>
      <c r="D4" s="5">
        <v>0.93400000000000005</v>
      </c>
      <c r="E4" s="3" t="s">
        <v>14</v>
      </c>
      <c r="F4" s="5">
        <v>98.796000000000006</v>
      </c>
      <c r="G4" s="3" t="s">
        <v>15</v>
      </c>
      <c r="H4" s="3">
        <f t="shared" si="0"/>
        <v>1</v>
      </c>
      <c r="K4" s="3" t="str">
        <f t="shared" si="1"/>
        <v/>
      </c>
    </row>
    <row r="5" spans="1:11" x14ac:dyDescent="0.25">
      <c r="A5" s="3">
        <v>1</v>
      </c>
      <c r="B5" s="13">
        <v>46258.3754976852</v>
      </c>
      <c r="C5" s="3" t="s">
        <v>16</v>
      </c>
      <c r="D5" s="5">
        <v>0.88300000000000001</v>
      </c>
      <c r="E5" s="3" t="s">
        <v>14</v>
      </c>
      <c r="F5" s="5">
        <v>116.096</v>
      </c>
      <c r="G5" s="3" t="s">
        <v>16</v>
      </c>
      <c r="H5" s="3">
        <f t="shared" si="0"/>
        <v>1</v>
      </c>
      <c r="I5" s="3">
        <v>1</v>
      </c>
      <c r="J5" s="3" t="s">
        <v>16</v>
      </c>
      <c r="K5" s="3">
        <f t="shared" si="1"/>
        <v>1</v>
      </c>
    </row>
    <row r="6" spans="1:11" x14ac:dyDescent="0.25">
      <c r="A6" s="3">
        <v>1</v>
      </c>
      <c r="B6" s="13">
        <v>46258.375625000001</v>
      </c>
      <c r="C6" s="3" t="s">
        <v>17</v>
      </c>
      <c r="D6" s="5">
        <v>0.871</v>
      </c>
      <c r="E6" s="3" t="s">
        <v>14</v>
      </c>
      <c r="F6" s="5">
        <v>116.129</v>
      </c>
      <c r="G6" s="3" t="s">
        <v>17</v>
      </c>
      <c r="H6" s="3">
        <f t="shared" si="0"/>
        <v>1</v>
      </c>
      <c r="I6" s="3">
        <v>1</v>
      </c>
      <c r="J6" s="3" t="s">
        <v>17</v>
      </c>
      <c r="K6" s="3">
        <f t="shared" si="1"/>
        <v>1</v>
      </c>
    </row>
    <row r="7" spans="1:11" x14ac:dyDescent="0.25">
      <c r="A7" s="3">
        <v>1</v>
      </c>
      <c r="B7" s="13">
        <v>46258.375706018502</v>
      </c>
      <c r="C7" s="3" t="s">
        <v>18</v>
      </c>
      <c r="D7" s="5">
        <v>0.78100000000000003</v>
      </c>
      <c r="E7" s="3" t="s">
        <v>14</v>
      </c>
      <c r="F7" s="5">
        <v>86.222999999999999</v>
      </c>
      <c r="G7" s="3" t="s">
        <v>18</v>
      </c>
      <c r="H7" s="3">
        <f t="shared" si="0"/>
        <v>1</v>
      </c>
      <c r="K7" s="3" t="str">
        <f t="shared" si="1"/>
        <v/>
      </c>
    </row>
    <row r="8" spans="1:11" x14ac:dyDescent="0.25">
      <c r="A8" s="3">
        <v>1</v>
      </c>
      <c r="B8" s="13">
        <v>46258.375833333303</v>
      </c>
      <c r="C8" s="3" t="s">
        <v>19</v>
      </c>
      <c r="D8" s="5">
        <v>0.92400000000000004</v>
      </c>
      <c r="E8" s="3" t="s">
        <v>14</v>
      </c>
      <c r="F8" s="5">
        <v>103.976</v>
      </c>
      <c r="G8" s="3" t="s">
        <v>19</v>
      </c>
      <c r="H8" s="3">
        <f t="shared" si="0"/>
        <v>1</v>
      </c>
      <c r="I8" s="3">
        <v>1</v>
      </c>
      <c r="J8" s="3" t="s">
        <v>19</v>
      </c>
      <c r="K8" s="3">
        <f t="shared" si="1"/>
        <v>1</v>
      </c>
    </row>
    <row r="9" spans="1:11" x14ac:dyDescent="0.25">
      <c r="A9" s="3">
        <v>1</v>
      </c>
      <c r="B9" s="13">
        <v>46258.3760763889</v>
      </c>
      <c r="C9" s="3" t="s">
        <v>20</v>
      </c>
      <c r="D9" s="5">
        <v>0.77500000000000002</v>
      </c>
      <c r="E9" s="3" t="s">
        <v>12</v>
      </c>
      <c r="F9" s="5">
        <v>151.93199999999999</v>
      </c>
      <c r="G9" s="3" t="s">
        <v>20</v>
      </c>
      <c r="H9" s="3">
        <f t="shared" si="0"/>
        <v>1</v>
      </c>
      <c r="K9" s="3" t="str">
        <f t="shared" si="1"/>
        <v/>
      </c>
    </row>
    <row r="10" spans="1:11" x14ac:dyDescent="0.25">
      <c r="A10" s="3">
        <v>1</v>
      </c>
      <c r="B10" s="13">
        <v>46258.376226851899</v>
      </c>
      <c r="C10" s="3" t="s">
        <v>21</v>
      </c>
      <c r="D10" s="5">
        <v>0.85799999999999998</v>
      </c>
      <c r="E10" s="3" t="s">
        <v>14</v>
      </c>
      <c r="F10" s="5">
        <v>124.917</v>
      </c>
      <c r="G10" s="3" t="s">
        <v>21</v>
      </c>
      <c r="H10" s="3">
        <f t="shared" si="0"/>
        <v>1</v>
      </c>
      <c r="K10" s="3" t="str">
        <f t="shared" si="1"/>
        <v/>
      </c>
    </row>
    <row r="11" spans="1:11" x14ac:dyDescent="0.25">
      <c r="A11" s="3">
        <v>1</v>
      </c>
      <c r="B11" s="13">
        <v>46258.376331018502</v>
      </c>
      <c r="C11" s="3" t="s">
        <v>22</v>
      </c>
      <c r="D11" s="5">
        <v>0.69699999999999995</v>
      </c>
      <c r="E11" s="3" t="s">
        <v>14</v>
      </c>
      <c r="F11" s="5">
        <v>138.804</v>
      </c>
      <c r="G11" s="3" t="s">
        <v>23</v>
      </c>
      <c r="H11" s="3">
        <f t="shared" si="0"/>
        <v>0</v>
      </c>
      <c r="I11" s="3">
        <v>1</v>
      </c>
      <c r="J11" s="3" t="s">
        <v>22</v>
      </c>
      <c r="K11" s="3">
        <f t="shared" si="1"/>
        <v>0</v>
      </c>
    </row>
    <row r="12" spans="1:11" x14ac:dyDescent="0.25">
      <c r="A12" s="3">
        <v>1</v>
      </c>
      <c r="B12" s="13">
        <v>46258.376446759299</v>
      </c>
      <c r="C12" s="3" t="s">
        <v>24</v>
      </c>
      <c r="D12" s="5">
        <v>0.83</v>
      </c>
      <c r="E12" s="3" t="s">
        <v>14</v>
      </c>
      <c r="F12" s="5">
        <v>134.017</v>
      </c>
      <c r="G12" s="3" t="s">
        <v>24</v>
      </c>
      <c r="H12" s="3">
        <f t="shared" si="0"/>
        <v>1</v>
      </c>
      <c r="K12" s="3" t="str">
        <f t="shared" si="1"/>
        <v/>
      </c>
    </row>
    <row r="13" spans="1:11" x14ac:dyDescent="0.25">
      <c r="A13" s="3">
        <v>1</v>
      </c>
      <c r="B13" s="13">
        <v>46258.376736111102</v>
      </c>
      <c r="C13" s="3" t="s">
        <v>25</v>
      </c>
      <c r="D13" s="5">
        <v>0.86799999999999999</v>
      </c>
      <c r="E13" s="3" t="s">
        <v>14</v>
      </c>
      <c r="F13" s="5">
        <v>118.13800000000001</v>
      </c>
      <c r="G13" s="3" t="s">
        <v>25</v>
      </c>
      <c r="H13" s="3">
        <f t="shared" si="0"/>
        <v>1</v>
      </c>
      <c r="I13" s="3">
        <v>1</v>
      </c>
      <c r="J13" s="3" t="s">
        <v>25</v>
      </c>
      <c r="K13" s="3">
        <f t="shared" si="1"/>
        <v>1</v>
      </c>
    </row>
    <row r="14" spans="1:11" x14ac:dyDescent="0.25">
      <c r="A14" s="3">
        <v>1</v>
      </c>
      <c r="B14" s="13">
        <v>46258.376944444499</v>
      </c>
      <c r="C14" s="3" t="s">
        <v>26</v>
      </c>
      <c r="D14" s="5">
        <v>0.88600000000000001</v>
      </c>
      <c r="E14" s="3" t="s">
        <v>14</v>
      </c>
      <c r="F14" s="5">
        <v>119.482</v>
      </c>
      <c r="G14" s="3" t="s">
        <v>26</v>
      </c>
      <c r="H14" s="3">
        <f t="shared" si="0"/>
        <v>1</v>
      </c>
      <c r="K14" s="3" t="str">
        <f t="shared" si="1"/>
        <v/>
      </c>
    </row>
    <row r="15" spans="1:11" x14ac:dyDescent="0.25">
      <c r="A15" s="3">
        <v>1</v>
      </c>
      <c r="B15" s="13">
        <v>46258.3771180556</v>
      </c>
      <c r="C15" s="3" t="s">
        <v>27</v>
      </c>
      <c r="D15" s="5">
        <v>0.85799999999999998</v>
      </c>
      <c r="E15" s="3" t="s">
        <v>12</v>
      </c>
      <c r="F15" s="5">
        <v>127.22799999999999</v>
      </c>
      <c r="G15" s="3" t="s">
        <v>27</v>
      </c>
      <c r="H15" s="3">
        <f t="shared" si="0"/>
        <v>1</v>
      </c>
      <c r="I15" s="3">
        <v>1</v>
      </c>
      <c r="J15" s="3" t="s">
        <v>27</v>
      </c>
      <c r="K15" s="3">
        <f t="shared" si="1"/>
        <v>1</v>
      </c>
    </row>
    <row r="16" spans="1:11" x14ac:dyDescent="0.25">
      <c r="A16" s="3">
        <v>1</v>
      </c>
      <c r="B16" s="13">
        <v>46258.377222222203</v>
      </c>
      <c r="C16" s="3" t="s">
        <v>23</v>
      </c>
      <c r="D16" s="5">
        <v>0.745</v>
      </c>
      <c r="E16" s="3" t="s">
        <v>14</v>
      </c>
      <c r="F16" s="5">
        <v>118.791</v>
      </c>
      <c r="G16" s="3" t="s">
        <v>28</v>
      </c>
      <c r="H16" s="3">
        <f t="shared" si="0"/>
        <v>0</v>
      </c>
      <c r="I16" s="3">
        <v>1</v>
      </c>
      <c r="J16" s="3" t="s">
        <v>23</v>
      </c>
      <c r="K16" s="3">
        <f t="shared" si="1"/>
        <v>0</v>
      </c>
    </row>
    <row r="17" spans="1:11" x14ac:dyDescent="0.25">
      <c r="A17" s="3">
        <v>1</v>
      </c>
      <c r="B17" s="13">
        <v>46258.377349536997</v>
      </c>
      <c r="C17" s="3" t="s">
        <v>29</v>
      </c>
      <c r="D17" s="5">
        <v>0.90600000000000003</v>
      </c>
      <c r="E17" s="3" t="s">
        <v>14</v>
      </c>
      <c r="F17" s="5">
        <v>120.56</v>
      </c>
      <c r="G17" s="3" t="s">
        <v>29</v>
      </c>
      <c r="H17" s="3">
        <f t="shared" si="0"/>
        <v>1</v>
      </c>
      <c r="I17" s="3">
        <v>1</v>
      </c>
      <c r="J17" s="3" t="s">
        <v>29</v>
      </c>
      <c r="K17" s="3">
        <f t="shared" si="1"/>
        <v>1</v>
      </c>
    </row>
    <row r="18" spans="1:11" x14ac:dyDescent="0.25">
      <c r="A18" s="3">
        <v>1</v>
      </c>
      <c r="B18" s="13">
        <v>46258.377500000002</v>
      </c>
      <c r="C18" s="3" t="s">
        <v>30</v>
      </c>
      <c r="D18" s="5">
        <v>0.875</v>
      </c>
      <c r="E18" s="3" t="s">
        <v>14</v>
      </c>
      <c r="F18" s="5">
        <v>97.322999999999993</v>
      </c>
      <c r="G18" s="3" t="s">
        <v>30</v>
      </c>
      <c r="H18" s="3">
        <f t="shared" si="0"/>
        <v>1</v>
      </c>
      <c r="K18" s="3" t="str">
        <f t="shared" si="1"/>
        <v/>
      </c>
    </row>
    <row r="19" spans="1:11" x14ac:dyDescent="0.25">
      <c r="A19" s="3">
        <v>1</v>
      </c>
      <c r="B19" s="13">
        <v>46258.377662036997</v>
      </c>
      <c r="C19" s="3" t="s">
        <v>31</v>
      </c>
      <c r="D19" s="5">
        <v>0.93100000000000005</v>
      </c>
      <c r="E19" s="3" t="s">
        <v>14</v>
      </c>
      <c r="F19" s="5">
        <v>85</v>
      </c>
      <c r="G19" s="3" t="s">
        <v>31</v>
      </c>
      <c r="H19" s="3">
        <f t="shared" si="0"/>
        <v>1</v>
      </c>
      <c r="K19" s="3" t="str">
        <f t="shared" si="1"/>
        <v/>
      </c>
    </row>
    <row r="20" spans="1:11" x14ac:dyDescent="0.25">
      <c r="A20" s="3">
        <v>1</v>
      </c>
      <c r="B20" s="13">
        <v>46258.377812500003</v>
      </c>
      <c r="C20" s="3" t="s">
        <v>32</v>
      </c>
      <c r="D20" s="5">
        <v>0.90800000000000003</v>
      </c>
      <c r="E20" s="3" t="s">
        <v>14</v>
      </c>
      <c r="F20" s="5">
        <v>116.417</v>
      </c>
      <c r="G20" s="3" t="s">
        <v>32</v>
      </c>
      <c r="H20" s="3">
        <f t="shared" si="0"/>
        <v>1</v>
      </c>
      <c r="K20" s="3" t="str">
        <f t="shared" si="1"/>
        <v/>
      </c>
    </row>
    <row r="21" spans="1:11" x14ac:dyDescent="0.25">
      <c r="A21" s="3">
        <v>1</v>
      </c>
      <c r="B21" s="13">
        <v>46258.378043981502</v>
      </c>
      <c r="C21" s="3" t="s">
        <v>33</v>
      </c>
      <c r="D21" s="5">
        <v>0.85899999999999999</v>
      </c>
      <c r="E21" s="3" t="s">
        <v>14</v>
      </c>
      <c r="F21" s="5">
        <v>122.569</v>
      </c>
      <c r="G21" s="3" t="s">
        <v>33</v>
      </c>
      <c r="H21" s="3">
        <f t="shared" si="0"/>
        <v>1</v>
      </c>
      <c r="K21" s="3" t="str">
        <f t="shared" si="1"/>
        <v/>
      </c>
    </row>
    <row r="22" spans="1:11" x14ac:dyDescent="0.25">
      <c r="A22" s="3">
        <v>1</v>
      </c>
      <c r="B22" s="13">
        <v>46258.3781481482</v>
      </c>
      <c r="C22" s="3" t="s">
        <v>34</v>
      </c>
      <c r="D22" s="5">
        <v>0.85299999999999998</v>
      </c>
      <c r="E22" s="3" t="s">
        <v>14</v>
      </c>
      <c r="F22" s="5">
        <v>97.078999999999994</v>
      </c>
      <c r="G22" s="3" t="s">
        <v>34</v>
      </c>
      <c r="H22" s="3">
        <f t="shared" si="0"/>
        <v>1</v>
      </c>
      <c r="K22" s="3" t="str">
        <f t="shared" si="1"/>
        <v/>
      </c>
    </row>
    <row r="23" spans="1:11" x14ac:dyDescent="0.25">
      <c r="A23" s="3">
        <v>1</v>
      </c>
      <c r="B23" s="13">
        <v>46258.378287036998</v>
      </c>
      <c r="C23" s="3" t="s">
        <v>35</v>
      </c>
      <c r="D23" s="5">
        <v>0.89100000000000001</v>
      </c>
      <c r="E23" s="3" t="s">
        <v>14</v>
      </c>
      <c r="F23" s="5">
        <v>112.009</v>
      </c>
      <c r="G23" s="3" t="s">
        <v>35</v>
      </c>
      <c r="H23" s="3">
        <f t="shared" si="0"/>
        <v>1</v>
      </c>
      <c r="K23" s="3" t="str">
        <f t="shared" si="1"/>
        <v/>
      </c>
    </row>
    <row r="24" spans="1:11" x14ac:dyDescent="0.25">
      <c r="A24" s="3">
        <v>1</v>
      </c>
      <c r="B24" s="13">
        <v>46258.378437500003</v>
      </c>
      <c r="C24" s="3" t="s">
        <v>36</v>
      </c>
      <c r="D24" s="5">
        <v>0.92200000000000004</v>
      </c>
      <c r="E24" s="3" t="s">
        <v>14</v>
      </c>
      <c r="F24" s="5">
        <v>94.284000000000006</v>
      </c>
      <c r="G24" s="3" t="s">
        <v>36</v>
      </c>
      <c r="H24" s="3">
        <f t="shared" si="0"/>
        <v>1</v>
      </c>
      <c r="K24" s="3" t="str">
        <f t="shared" si="1"/>
        <v/>
      </c>
    </row>
    <row r="25" spans="1:11" x14ac:dyDescent="0.25">
      <c r="A25" s="3">
        <v>1</v>
      </c>
      <c r="B25" s="13">
        <v>46258.378622685203</v>
      </c>
      <c r="C25" s="3" t="s">
        <v>37</v>
      </c>
      <c r="D25" s="5">
        <v>0.86199999999999999</v>
      </c>
      <c r="E25" s="3" t="s">
        <v>14</v>
      </c>
      <c r="F25" s="5">
        <v>109.79600000000001</v>
      </c>
      <c r="G25" s="3" t="s">
        <v>37</v>
      </c>
      <c r="H25" s="3">
        <f t="shared" si="0"/>
        <v>1</v>
      </c>
      <c r="K25" s="3" t="str">
        <f t="shared" si="1"/>
        <v/>
      </c>
    </row>
    <row r="26" spans="1:11" x14ac:dyDescent="0.25">
      <c r="A26" s="3">
        <v>1</v>
      </c>
      <c r="B26" s="13">
        <v>46258.378773148201</v>
      </c>
      <c r="C26" s="3" t="s">
        <v>18</v>
      </c>
      <c r="D26" s="5">
        <v>0.77700000000000002</v>
      </c>
      <c r="E26" s="3" t="s">
        <v>14</v>
      </c>
      <c r="F26" s="5">
        <v>102.44199999999999</v>
      </c>
      <c r="G26" s="3" t="s">
        <v>18</v>
      </c>
      <c r="H26" s="3">
        <f t="shared" si="0"/>
        <v>1</v>
      </c>
      <c r="K26" s="3" t="str">
        <f t="shared" si="1"/>
        <v/>
      </c>
    </row>
    <row r="27" spans="1:11" x14ac:dyDescent="0.25">
      <c r="A27" s="3">
        <v>1</v>
      </c>
      <c r="B27" s="13">
        <v>46258.378900463002</v>
      </c>
      <c r="C27" s="3" t="s">
        <v>27</v>
      </c>
      <c r="D27" s="5">
        <v>0.76600000000000001</v>
      </c>
      <c r="E27" s="3" t="s">
        <v>12</v>
      </c>
      <c r="F27" s="5">
        <v>132.69399999999999</v>
      </c>
      <c r="G27" s="3" t="s">
        <v>30</v>
      </c>
      <c r="H27" s="3">
        <f t="shared" si="0"/>
        <v>0</v>
      </c>
      <c r="K27" s="3" t="str">
        <f t="shared" si="1"/>
        <v/>
      </c>
    </row>
    <row r="28" spans="1:11" x14ac:dyDescent="0.25">
      <c r="A28" s="3">
        <v>1</v>
      </c>
      <c r="B28" s="13">
        <v>46258.379050925898</v>
      </c>
      <c r="C28" s="3" t="s">
        <v>19</v>
      </c>
      <c r="D28" s="5">
        <v>0.86899999999999999</v>
      </c>
      <c r="E28" s="3" t="s">
        <v>14</v>
      </c>
      <c r="F28" s="5">
        <v>85</v>
      </c>
      <c r="G28" s="3" t="s">
        <v>19</v>
      </c>
      <c r="H28" s="3">
        <f t="shared" si="0"/>
        <v>1</v>
      </c>
      <c r="K28" s="3" t="str">
        <f t="shared" si="1"/>
        <v/>
      </c>
    </row>
    <row r="29" spans="1:11" x14ac:dyDescent="0.25">
      <c r="A29" s="3">
        <v>1</v>
      </c>
      <c r="B29" s="13">
        <v>46258.379189814797</v>
      </c>
      <c r="C29" s="3" t="s">
        <v>18</v>
      </c>
      <c r="D29" s="5">
        <v>0.95399999999999996</v>
      </c>
      <c r="E29" s="3" t="s">
        <v>14</v>
      </c>
      <c r="F29" s="5">
        <v>103.158</v>
      </c>
      <c r="G29" s="3" t="s">
        <v>18</v>
      </c>
      <c r="H29" s="3">
        <f t="shared" si="0"/>
        <v>1</v>
      </c>
      <c r="K29" s="3" t="str">
        <f t="shared" si="1"/>
        <v/>
      </c>
    </row>
    <row r="30" spans="1:11" x14ac:dyDescent="0.25">
      <c r="A30" s="3">
        <v>1</v>
      </c>
      <c r="B30" s="13">
        <v>46258.379270833299</v>
      </c>
      <c r="C30" s="3" t="s">
        <v>27</v>
      </c>
      <c r="D30" s="5">
        <v>0.91200000000000003</v>
      </c>
      <c r="E30" s="3" t="s">
        <v>12</v>
      </c>
      <c r="F30" s="5">
        <v>134.81100000000001</v>
      </c>
      <c r="G30" s="3" t="s">
        <v>27</v>
      </c>
      <c r="H30" s="3">
        <f t="shared" si="0"/>
        <v>1</v>
      </c>
      <c r="K30" s="3" t="str">
        <f t="shared" si="1"/>
        <v/>
      </c>
    </row>
    <row r="31" spans="1:11" x14ac:dyDescent="0.25">
      <c r="A31" s="3">
        <v>1</v>
      </c>
      <c r="B31" s="13">
        <v>46258.379432870403</v>
      </c>
      <c r="C31" s="3" t="s">
        <v>16</v>
      </c>
      <c r="D31" s="5">
        <v>0.84199999999999997</v>
      </c>
      <c r="E31" s="3" t="s">
        <v>14</v>
      </c>
      <c r="F31" s="5">
        <v>141.25899999999999</v>
      </c>
      <c r="G31" s="3" t="s">
        <v>16</v>
      </c>
      <c r="H31" s="3">
        <f t="shared" si="0"/>
        <v>1</v>
      </c>
      <c r="I31" s="3">
        <v>1</v>
      </c>
      <c r="J31" s="3" t="s">
        <v>16</v>
      </c>
      <c r="K31" s="3">
        <f t="shared" si="1"/>
        <v>1</v>
      </c>
    </row>
    <row r="32" spans="1:11" x14ac:dyDescent="0.25">
      <c r="A32" s="3">
        <v>1</v>
      </c>
      <c r="B32" s="13">
        <v>46258.379641203697</v>
      </c>
      <c r="C32" s="3" t="s">
        <v>16</v>
      </c>
      <c r="D32" s="5">
        <v>0.86199999999999999</v>
      </c>
      <c r="E32" s="3" t="s">
        <v>14</v>
      </c>
      <c r="F32" s="5">
        <v>102.839</v>
      </c>
      <c r="G32" s="3" t="s">
        <v>16</v>
      </c>
      <c r="H32" s="3">
        <f t="shared" si="0"/>
        <v>1</v>
      </c>
      <c r="K32" s="3" t="str">
        <f t="shared" si="1"/>
        <v/>
      </c>
    </row>
    <row r="33" spans="1:11" x14ac:dyDescent="0.25">
      <c r="A33" s="3">
        <v>1</v>
      </c>
      <c r="B33" s="13">
        <v>46258.379780092597</v>
      </c>
      <c r="C33" s="3" t="s">
        <v>19</v>
      </c>
      <c r="D33" s="5">
        <v>0.878</v>
      </c>
      <c r="E33" s="3" t="s">
        <v>14</v>
      </c>
      <c r="F33" s="5">
        <v>120.47799999999999</v>
      </c>
      <c r="G33" s="3" t="s">
        <v>19</v>
      </c>
      <c r="H33" s="3">
        <f t="shared" si="0"/>
        <v>1</v>
      </c>
      <c r="I33" s="3">
        <v>1</v>
      </c>
      <c r="J33" s="3" t="s">
        <v>19</v>
      </c>
      <c r="K33" s="3">
        <f t="shared" si="1"/>
        <v>1</v>
      </c>
    </row>
    <row r="34" spans="1:11" x14ac:dyDescent="0.25">
      <c r="A34" s="3">
        <v>1</v>
      </c>
      <c r="B34" s="13">
        <v>46258.379988425899</v>
      </c>
      <c r="C34" s="3" t="s">
        <v>33</v>
      </c>
      <c r="D34" s="5">
        <v>0.88600000000000001</v>
      </c>
      <c r="E34" s="3" t="s">
        <v>14</v>
      </c>
      <c r="F34" s="5">
        <v>118.405</v>
      </c>
      <c r="G34" s="3" t="s">
        <v>33</v>
      </c>
      <c r="H34" s="3">
        <f t="shared" si="0"/>
        <v>1</v>
      </c>
      <c r="K34" s="3" t="str">
        <f t="shared" si="1"/>
        <v/>
      </c>
    </row>
    <row r="35" spans="1:11" x14ac:dyDescent="0.25">
      <c r="A35" s="3">
        <v>1</v>
      </c>
      <c r="B35" s="13">
        <v>46258.380127314798</v>
      </c>
      <c r="C35" s="3" t="s">
        <v>31</v>
      </c>
      <c r="D35" s="5">
        <v>0.98199999999999998</v>
      </c>
      <c r="E35" s="3" t="s">
        <v>14</v>
      </c>
      <c r="F35" s="5">
        <v>89.718000000000004</v>
      </c>
      <c r="G35" s="3" t="s">
        <v>31</v>
      </c>
      <c r="H35" s="3">
        <f t="shared" si="0"/>
        <v>1</v>
      </c>
      <c r="K35" s="3" t="str">
        <f t="shared" si="1"/>
        <v/>
      </c>
    </row>
    <row r="36" spans="1:11" x14ac:dyDescent="0.25">
      <c r="A36" s="3">
        <v>1</v>
      </c>
      <c r="B36" s="13">
        <v>46258.380335648202</v>
      </c>
      <c r="C36" s="3" t="s">
        <v>30</v>
      </c>
      <c r="D36" s="5">
        <v>0.90900000000000003</v>
      </c>
      <c r="E36" s="3" t="s">
        <v>14</v>
      </c>
      <c r="F36" s="5">
        <v>116.79300000000001</v>
      </c>
      <c r="G36" s="3" t="s">
        <v>30</v>
      </c>
      <c r="H36" s="3">
        <f t="shared" si="0"/>
        <v>1</v>
      </c>
      <c r="K36" s="3" t="str">
        <f t="shared" si="1"/>
        <v/>
      </c>
    </row>
    <row r="37" spans="1:11" x14ac:dyDescent="0.25">
      <c r="A37" s="3">
        <v>1</v>
      </c>
      <c r="B37" s="13">
        <v>46258.380439814799</v>
      </c>
      <c r="C37" s="3" t="s">
        <v>19</v>
      </c>
      <c r="D37" s="5">
        <v>0.80200000000000005</v>
      </c>
      <c r="E37" s="3" t="s">
        <v>14</v>
      </c>
      <c r="F37" s="5">
        <v>126.372</v>
      </c>
      <c r="G37" s="3" t="s">
        <v>19</v>
      </c>
      <c r="H37" s="3">
        <f t="shared" si="0"/>
        <v>1</v>
      </c>
      <c r="K37" s="3" t="str">
        <f t="shared" si="1"/>
        <v/>
      </c>
    </row>
    <row r="38" spans="1:11" x14ac:dyDescent="0.25">
      <c r="A38" s="3">
        <v>1</v>
      </c>
      <c r="B38" s="13">
        <v>46258.380578703698</v>
      </c>
      <c r="C38" s="3" t="s">
        <v>20</v>
      </c>
      <c r="D38" s="5">
        <v>0.85099999999999998</v>
      </c>
      <c r="E38" s="3" t="s">
        <v>12</v>
      </c>
      <c r="F38" s="5">
        <v>153.34299999999999</v>
      </c>
      <c r="G38" s="3" t="s">
        <v>20</v>
      </c>
      <c r="H38" s="3">
        <f t="shared" si="0"/>
        <v>1</v>
      </c>
      <c r="I38" s="3">
        <v>1</v>
      </c>
      <c r="J38" s="3" t="s">
        <v>20</v>
      </c>
      <c r="K38" s="3">
        <f t="shared" si="1"/>
        <v>1</v>
      </c>
    </row>
    <row r="39" spans="1:11" x14ac:dyDescent="0.25">
      <c r="A39" s="3">
        <v>1</v>
      </c>
      <c r="B39" s="13">
        <v>46258.380763888897</v>
      </c>
      <c r="C39" s="3" t="s">
        <v>23</v>
      </c>
      <c r="D39" s="5">
        <v>0.83699999999999997</v>
      </c>
      <c r="E39" s="3" t="s">
        <v>14</v>
      </c>
      <c r="F39" s="5">
        <v>143.535</v>
      </c>
      <c r="G39" s="3" t="s">
        <v>23</v>
      </c>
      <c r="H39" s="3">
        <f t="shared" si="0"/>
        <v>1</v>
      </c>
      <c r="K39" s="3" t="str">
        <f t="shared" si="1"/>
        <v/>
      </c>
    </row>
    <row r="40" spans="1:11" x14ac:dyDescent="0.25">
      <c r="A40" s="3">
        <v>1</v>
      </c>
      <c r="B40" s="13">
        <v>46258.380856481497</v>
      </c>
      <c r="C40" s="3" t="s">
        <v>29</v>
      </c>
      <c r="D40" s="5">
        <v>0.83699999999999997</v>
      </c>
      <c r="E40" s="3" t="s">
        <v>14</v>
      </c>
      <c r="F40" s="5">
        <v>88.715999999999994</v>
      </c>
      <c r="G40" s="3" t="s">
        <v>29</v>
      </c>
      <c r="H40" s="3">
        <f t="shared" si="0"/>
        <v>1</v>
      </c>
      <c r="K40" s="3" t="str">
        <f t="shared" si="1"/>
        <v/>
      </c>
    </row>
    <row r="41" spans="1:11" x14ac:dyDescent="0.25">
      <c r="A41" s="3">
        <v>1</v>
      </c>
      <c r="B41" s="13">
        <v>46258.381018518499</v>
      </c>
      <c r="C41" s="3" t="s">
        <v>21</v>
      </c>
      <c r="D41" s="5">
        <v>0.90200000000000002</v>
      </c>
      <c r="E41" s="3" t="s">
        <v>14</v>
      </c>
      <c r="F41" s="5">
        <v>93.364999999999995</v>
      </c>
      <c r="G41" s="3" t="s">
        <v>21</v>
      </c>
      <c r="H41" s="3">
        <f t="shared" si="0"/>
        <v>1</v>
      </c>
      <c r="K41" s="3" t="str">
        <f t="shared" si="1"/>
        <v/>
      </c>
    </row>
    <row r="42" spans="1:11" x14ac:dyDescent="0.25">
      <c r="A42" s="3">
        <v>1</v>
      </c>
      <c r="B42" s="13">
        <v>46258.381180555603</v>
      </c>
      <c r="C42" s="3" t="s">
        <v>30</v>
      </c>
      <c r="D42" s="5">
        <v>0.73299999999999998</v>
      </c>
      <c r="E42" s="3" t="s">
        <v>14</v>
      </c>
      <c r="F42" s="5">
        <v>98.7</v>
      </c>
      <c r="G42" s="3" t="s">
        <v>21</v>
      </c>
      <c r="H42" s="3">
        <f t="shared" si="0"/>
        <v>0</v>
      </c>
      <c r="I42" s="3">
        <v>1</v>
      </c>
      <c r="J42" s="3" t="s">
        <v>30</v>
      </c>
      <c r="K42" s="3">
        <f t="shared" si="1"/>
        <v>0</v>
      </c>
    </row>
    <row r="43" spans="1:11" x14ac:dyDescent="0.25">
      <c r="A43" s="3">
        <v>1</v>
      </c>
      <c r="B43" s="13">
        <v>46258.381296296298</v>
      </c>
      <c r="C43" s="3" t="s">
        <v>23</v>
      </c>
      <c r="D43" s="5">
        <v>0.93200000000000005</v>
      </c>
      <c r="E43" s="3" t="s">
        <v>14</v>
      </c>
      <c r="F43" s="5">
        <v>107.976</v>
      </c>
      <c r="G43" s="3" t="s">
        <v>23</v>
      </c>
      <c r="H43" s="3">
        <f t="shared" si="0"/>
        <v>1</v>
      </c>
      <c r="K43" s="3" t="str">
        <f t="shared" si="1"/>
        <v/>
      </c>
    </row>
    <row r="44" spans="1:11" x14ac:dyDescent="0.25">
      <c r="A44" s="3">
        <v>1</v>
      </c>
      <c r="B44" s="13">
        <v>46258.3815046296</v>
      </c>
      <c r="C44" s="3" t="s">
        <v>33</v>
      </c>
      <c r="D44" s="5">
        <v>0.90900000000000003</v>
      </c>
      <c r="E44" s="3" t="s">
        <v>14</v>
      </c>
      <c r="F44" s="5">
        <v>110.227</v>
      </c>
      <c r="G44" s="3" t="s">
        <v>33</v>
      </c>
      <c r="H44" s="3">
        <f t="shared" si="0"/>
        <v>1</v>
      </c>
      <c r="K44" s="3" t="str">
        <f t="shared" si="1"/>
        <v/>
      </c>
    </row>
    <row r="45" spans="1:11" x14ac:dyDescent="0.25">
      <c r="A45" s="3">
        <v>1</v>
      </c>
      <c r="B45" s="13">
        <v>46258.381655092599</v>
      </c>
      <c r="C45" s="3" t="s">
        <v>38</v>
      </c>
      <c r="D45" s="5">
        <v>0.748</v>
      </c>
      <c r="E45" s="3" t="s">
        <v>14</v>
      </c>
      <c r="F45" s="5">
        <v>113.026</v>
      </c>
      <c r="G45" s="3" t="s">
        <v>29</v>
      </c>
      <c r="H45" s="3">
        <f t="shared" si="0"/>
        <v>0</v>
      </c>
      <c r="K45" s="3" t="str">
        <f t="shared" si="1"/>
        <v/>
      </c>
    </row>
    <row r="46" spans="1:11" x14ac:dyDescent="0.25">
      <c r="A46" s="3">
        <v>1</v>
      </c>
      <c r="B46" s="13">
        <v>46258.381921296299</v>
      </c>
      <c r="C46" s="3" t="s">
        <v>17</v>
      </c>
      <c r="D46" s="5">
        <v>0.82499999999999996</v>
      </c>
      <c r="E46" s="3" t="s">
        <v>14</v>
      </c>
      <c r="F46" s="5">
        <v>118.173</v>
      </c>
      <c r="G46" s="3" t="s">
        <v>17</v>
      </c>
      <c r="H46" s="3">
        <f t="shared" si="0"/>
        <v>1</v>
      </c>
      <c r="I46" s="3">
        <v>1</v>
      </c>
      <c r="J46" s="3" t="s">
        <v>17</v>
      </c>
      <c r="K46" s="3">
        <f t="shared" si="1"/>
        <v>1</v>
      </c>
    </row>
    <row r="47" spans="1:11" x14ac:dyDescent="0.25">
      <c r="A47" s="3">
        <v>1</v>
      </c>
      <c r="B47" s="13">
        <v>46258.382164351897</v>
      </c>
      <c r="C47" s="3" t="s">
        <v>24</v>
      </c>
      <c r="D47" s="5">
        <v>0.80900000000000005</v>
      </c>
      <c r="E47" s="3" t="s">
        <v>14</v>
      </c>
      <c r="F47" s="5">
        <v>117.91</v>
      </c>
      <c r="G47" s="3" t="s">
        <v>24</v>
      </c>
      <c r="H47" s="3">
        <f t="shared" si="0"/>
        <v>1</v>
      </c>
      <c r="K47" s="3" t="str">
        <f t="shared" si="1"/>
        <v/>
      </c>
    </row>
    <row r="48" spans="1:11" x14ac:dyDescent="0.25">
      <c r="A48" s="3">
        <v>1</v>
      </c>
      <c r="B48" s="13">
        <v>46258.382303240702</v>
      </c>
      <c r="C48" s="3" t="s">
        <v>16</v>
      </c>
      <c r="D48" s="5">
        <v>0.95299999999999996</v>
      </c>
      <c r="E48" s="3" t="s">
        <v>14</v>
      </c>
      <c r="F48" s="5">
        <v>119.40600000000001</v>
      </c>
      <c r="G48" s="3" t="s">
        <v>16</v>
      </c>
      <c r="H48" s="3">
        <f t="shared" si="0"/>
        <v>1</v>
      </c>
      <c r="K48" s="3" t="str">
        <f t="shared" si="1"/>
        <v/>
      </c>
    </row>
    <row r="49" spans="1:11" x14ac:dyDescent="0.25">
      <c r="A49" s="3">
        <v>1</v>
      </c>
      <c r="B49" s="13">
        <v>46258.3824537037</v>
      </c>
      <c r="C49" s="3" t="s">
        <v>11</v>
      </c>
      <c r="D49" s="5">
        <v>0.84</v>
      </c>
      <c r="E49" s="3" t="s">
        <v>12</v>
      </c>
      <c r="F49" s="5">
        <v>145.38200000000001</v>
      </c>
      <c r="G49" s="3" t="s">
        <v>11</v>
      </c>
      <c r="H49" s="3">
        <f t="shared" si="0"/>
        <v>1</v>
      </c>
      <c r="K49" s="3" t="str">
        <f t="shared" si="1"/>
        <v/>
      </c>
    </row>
    <row r="50" spans="1:11" x14ac:dyDescent="0.25">
      <c r="A50" s="3">
        <v>1</v>
      </c>
      <c r="B50" s="13">
        <v>46258.3826736111</v>
      </c>
      <c r="C50" s="3" t="s">
        <v>30</v>
      </c>
      <c r="D50" s="5">
        <v>0.77200000000000002</v>
      </c>
      <c r="E50" s="3" t="s">
        <v>14</v>
      </c>
      <c r="F50" s="5">
        <v>129.00299999999999</v>
      </c>
      <c r="G50" s="3" t="s">
        <v>30</v>
      </c>
      <c r="H50" s="3">
        <f t="shared" si="0"/>
        <v>1</v>
      </c>
      <c r="K50" s="3" t="str">
        <f t="shared" si="1"/>
        <v/>
      </c>
    </row>
    <row r="51" spans="1:11" x14ac:dyDescent="0.25">
      <c r="A51" s="3">
        <v>2</v>
      </c>
      <c r="B51" s="13">
        <v>46258.387534722198</v>
      </c>
      <c r="C51" s="3" t="s">
        <v>38</v>
      </c>
      <c r="D51" s="5">
        <v>0.92900000000000005</v>
      </c>
      <c r="E51" s="3" t="s">
        <v>14</v>
      </c>
      <c r="F51" s="5">
        <v>120.663</v>
      </c>
      <c r="G51" s="3" t="s">
        <v>38</v>
      </c>
      <c r="H51" s="3">
        <f t="shared" si="0"/>
        <v>1</v>
      </c>
      <c r="K51" s="3" t="str">
        <f t="shared" si="1"/>
        <v/>
      </c>
    </row>
    <row r="52" spans="1:11" x14ac:dyDescent="0.25">
      <c r="A52" s="3">
        <v>2</v>
      </c>
      <c r="B52" s="13">
        <v>46258.387685185196</v>
      </c>
      <c r="C52" s="3" t="s">
        <v>39</v>
      </c>
      <c r="D52" s="5">
        <v>0.72299999999999998</v>
      </c>
      <c r="E52" s="3" t="s">
        <v>14</v>
      </c>
      <c r="F52" s="5">
        <v>98.346000000000004</v>
      </c>
      <c r="G52" s="3" t="s">
        <v>34</v>
      </c>
      <c r="H52" s="3">
        <f t="shared" si="0"/>
        <v>0</v>
      </c>
      <c r="K52" s="3" t="str">
        <f t="shared" si="1"/>
        <v/>
      </c>
    </row>
    <row r="53" spans="1:11" x14ac:dyDescent="0.25">
      <c r="A53" s="3">
        <v>2</v>
      </c>
      <c r="B53" s="13">
        <v>46258.387905092597</v>
      </c>
      <c r="C53" s="3" t="s">
        <v>36</v>
      </c>
      <c r="D53" s="5">
        <v>0.85699999999999998</v>
      </c>
      <c r="E53" s="3" t="s">
        <v>14</v>
      </c>
      <c r="F53" s="5">
        <v>139.333</v>
      </c>
      <c r="G53" s="3" t="s">
        <v>36</v>
      </c>
      <c r="H53" s="3">
        <f t="shared" si="0"/>
        <v>1</v>
      </c>
      <c r="I53" s="3">
        <v>1</v>
      </c>
      <c r="J53" s="3" t="s">
        <v>36</v>
      </c>
      <c r="K53" s="3">
        <f t="shared" si="1"/>
        <v>1</v>
      </c>
    </row>
    <row r="54" spans="1:11" x14ac:dyDescent="0.25">
      <c r="A54" s="3">
        <v>2</v>
      </c>
      <c r="B54" s="13">
        <v>46258.388101851902</v>
      </c>
      <c r="C54" s="3" t="s">
        <v>21</v>
      </c>
      <c r="D54" s="5">
        <v>0.86299999999999999</v>
      </c>
      <c r="E54" s="3" t="s">
        <v>14</v>
      </c>
      <c r="F54" s="5">
        <v>150.90299999999999</v>
      </c>
      <c r="G54" s="3" t="s">
        <v>24</v>
      </c>
      <c r="H54" s="3">
        <f t="shared" si="0"/>
        <v>0</v>
      </c>
      <c r="I54" s="3">
        <v>1</v>
      </c>
      <c r="J54" s="3" t="s">
        <v>21</v>
      </c>
      <c r="K54" s="3">
        <f t="shared" si="1"/>
        <v>0</v>
      </c>
    </row>
    <row r="55" spans="1:11" x14ac:dyDescent="0.25">
      <c r="A55" s="3">
        <v>2</v>
      </c>
      <c r="B55" s="13">
        <v>46258.388217592597</v>
      </c>
      <c r="C55" s="3" t="s">
        <v>32</v>
      </c>
      <c r="D55" s="5">
        <v>0.84099999999999997</v>
      </c>
      <c r="E55" s="3" t="s">
        <v>14</v>
      </c>
      <c r="F55" s="5">
        <v>100.55200000000001</v>
      </c>
      <c r="G55" s="3" t="s">
        <v>32</v>
      </c>
      <c r="H55" s="3">
        <f t="shared" si="0"/>
        <v>1</v>
      </c>
      <c r="K55" s="3" t="str">
        <f t="shared" si="1"/>
        <v/>
      </c>
    </row>
    <row r="56" spans="1:11" x14ac:dyDescent="0.25">
      <c r="A56" s="3">
        <v>2</v>
      </c>
      <c r="B56" s="13">
        <v>46258.3883796296</v>
      </c>
      <c r="C56" s="3" t="s">
        <v>26</v>
      </c>
      <c r="D56" s="5">
        <v>0.93400000000000005</v>
      </c>
      <c r="E56" s="3" t="s">
        <v>14</v>
      </c>
      <c r="F56" s="5">
        <v>94.399000000000001</v>
      </c>
      <c r="G56" s="3" t="s">
        <v>26</v>
      </c>
      <c r="H56" s="3">
        <f t="shared" si="0"/>
        <v>1</v>
      </c>
      <c r="K56" s="3" t="str">
        <f t="shared" si="1"/>
        <v/>
      </c>
    </row>
    <row r="57" spans="1:11" x14ac:dyDescent="0.25">
      <c r="A57" s="3">
        <v>2</v>
      </c>
      <c r="B57" s="13">
        <v>46258.388483796298</v>
      </c>
      <c r="C57" s="3" t="s">
        <v>19</v>
      </c>
      <c r="D57" s="5">
        <v>0.86699999999999999</v>
      </c>
      <c r="E57" s="3" t="s">
        <v>14</v>
      </c>
      <c r="F57" s="5">
        <v>111.595</v>
      </c>
      <c r="G57" s="3" t="s">
        <v>19</v>
      </c>
      <c r="H57" s="3">
        <f t="shared" si="0"/>
        <v>1</v>
      </c>
      <c r="K57" s="3" t="str">
        <f t="shared" si="1"/>
        <v/>
      </c>
    </row>
    <row r="58" spans="1:11" x14ac:dyDescent="0.25">
      <c r="A58" s="3">
        <v>2</v>
      </c>
      <c r="B58" s="13">
        <v>46258.388611111099</v>
      </c>
      <c r="C58" s="3" t="s">
        <v>22</v>
      </c>
      <c r="D58" s="5">
        <v>0.83599999999999997</v>
      </c>
      <c r="E58" s="3" t="s">
        <v>14</v>
      </c>
      <c r="F58" s="5">
        <v>132.63800000000001</v>
      </c>
      <c r="G58" s="3" t="s">
        <v>23</v>
      </c>
      <c r="H58" s="3">
        <f t="shared" si="0"/>
        <v>0</v>
      </c>
      <c r="K58" s="3" t="str">
        <f t="shared" si="1"/>
        <v/>
      </c>
    </row>
    <row r="59" spans="1:11" x14ac:dyDescent="0.25">
      <c r="A59" s="3">
        <v>2</v>
      </c>
      <c r="B59" s="13">
        <v>46258.388749999998</v>
      </c>
      <c r="C59" s="3" t="s">
        <v>30</v>
      </c>
      <c r="D59" s="5">
        <v>0.83099999999999996</v>
      </c>
      <c r="E59" s="3" t="s">
        <v>14</v>
      </c>
      <c r="F59" s="5">
        <v>92.388000000000005</v>
      </c>
      <c r="G59" s="3" t="s">
        <v>27</v>
      </c>
      <c r="H59" s="3">
        <f t="shared" si="0"/>
        <v>0</v>
      </c>
      <c r="K59" s="3" t="str">
        <f t="shared" si="1"/>
        <v/>
      </c>
    </row>
    <row r="60" spans="1:11" x14ac:dyDescent="0.25">
      <c r="A60" s="3">
        <v>2</v>
      </c>
      <c r="B60" s="13">
        <v>46258.388912037</v>
      </c>
      <c r="C60" s="3" t="s">
        <v>21</v>
      </c>
      <c r="D60" s="5">
        <v>0.94</v>
      </c>
      <c r="E60" s="3" t="s">
        <v>14</v>
      </c>
      <c r="F60" s="5">
        <v>85</v>
      </c>
      <c r="G60" s="3" t="s">
        <v>21</v>
      </c>
      <c r="H60" s="3">
        <f t="shared" si="0"/>
        <v>1</v>
      </c>
      <c r="I60" s="3">
        <v>1</v>
      </c>
      <c r="J60" s="3" t="s">
        <v>21</v>
      </c>
      <c r="K60" s="3">
        <f t="shared" si="1"/>
        <v>1</v>
      </c>
    </row>
    <row r="61" spans="1:11" x14ac:dyDescent="0.25">
      <c r="A61" s="3">
        <v>2</v>
      </c>
      <c r="B61" s="13">
        <v>46258.3890509259</v>
      </c>
      <c r="C61" s="3" t="s">
        <v>27</v>
      </c>
      <c r="D61" s="5">
        <v>0.85099999999999998</v>
      </c>
      <c r="E61" s="3" t="s">
        <v>12</v>
      </c>
      <c r="F61" s="5">
        <v>98.501000000000005</v>
      </c>
      <c r="G61" s="3" t="s">
        <v>11</v>
      </c>
      <c r="H61" s="3">
        <f t="shared" si="0"/>
        <v>0</v>
      </c>
      <c r="I61" s="3">
        <v>1</v>
      </c>
      <c r="J61" s="3" t="s">
        <v>27</v>
      </c>
      <c r="K61" s="3">
        <f t="shared" si="1"/>
        <v>0</v>
      </c>
    </row>
    <row r="62" spans="1:11" x14ac:dyDescent="0.25">
      <c r="A62" s="3">
        <v>2</v>
      </c>
      <c r="B62" s="13">
        <v>46258.3891435185</v>
      </c>
      <c r="C62" s="3" t="s">
        <v>30</v>
      </c>
      <c r="D62" s="5">
        <v>0.99</v>
      </c>
      <c r="E62" s="3" t="s">
        <v>14</v>
      </c>
      <c r="F62" s="5">
        <v>165.19200000000001</v>
      </c>
      <c r="G62" s="3" t="s">
        <v>30</v>
      </c>
      <c r="H62" s="3">
        <f t="shared" si="0"/>
        <v>1</v>
      </c>
      <c r="K62" s="3" t="str">
        <f t="shared" si="1"/>
        <v/>
      </c>
    </row>
    <row r="63" spans="1:11" x14ac:dyDescent="0.25">
      <c r="A63" s="3">
        <v>2</v>
      </c>
      <c r="B63" s="13">
        <v>46258.389305555596</v>
      </c>
      <c r="C63" s="3" t="s">
        <v>31</v>
      </c>
      <c r="D63" s="5">
        <v>0.93400000000000005</v>
      </c>
      <c r="E63" s="3" t="s">
        <v>14</v>
      </c>
      <c r="F63" s="5">
        <v>127.16</v>
      </c>
      <c r="G63" s="3" t="s">
        <v>31</v>
      </c>
      <c r="H63" s="3">
        <f t="shared" si="0"/>
        <v>1</v>
      </c>
      <c r="K63" s="3" t="str">
        <f t="shared" si="1"/>
        <v/>
      </c>
    </row>
    <row r="64" spans="1:11" x14ac:dyDescent="0.25">
      <c r="A64" s="3">
        <v>2</v>
      </c>
      <c r="B64" s="13">
        <v>46258.389421296299</v>
      </c>
      <c r="C64" s="3" t="s">
        <v>18</v>
      </c>
      <c r="D64" s="5">
        <v>0.96699999999999997</v>
      </c>
      <c r="E64" s="3" t="s">
        <v>14</v>
      </c>
      <c r="F64" s="5">
        <v>100.53100000000001</v>
      </c>
      <c r="G64" s="3" t="s">
        <v>18</v>
      </c>
      <c r="H64" s="3">
        <f t="shared" si="0"/>
        <v>1</v>
      </c>
      <c r="K64" s="3" t="str">
        <f t="shared" si="1"/>
        <v/>
      </c>
    </row>
    <row r="65" spans="1:11" x14ac:dyDescent="0.25">
      <c r="A65" s="3">
        <v>2</v>
      </c>
      <c r="B65" s="13">
        <v>46258.389583333301</v>
      </c>
      <c r="C65" s="3" t="s">
        <v>13</v>
      </c>
      <c r="D65" s="5">
        <v>0.877</v>
      </c>
      <c r="E65" s="3" t="s">
        <v>14</v>
      </c>
      <c r="F65" s="5">
        <v>117.631</v>
      </c>
      <c r="G65" s="3" t="s">
        <v>35</v>
      </c>
      <c r="H65" s="3">
        <f t="shared" si="0"/>
        <v>0</v>
      </c>
      <c r="I65" s="3">
        <v>1</v>
      </c>
      <c r="J65" s="3" t="s">
        <v>13</v>
      </c>
      <c r="K65" s="3">
        <f t="shared" si="1"/>
        <v>0</v>
      </c>
    </row>
    <row r="66" spans="1:11" x14ac:dyDescent="0.25">
      <c r="A66" s="3">
        <v>2</v>
      </c>
      <c r="B66" s="13">
        <v>46258.389872685198</v>
      </c>
      <c r="C66" s="3" t="s">
        <v>13</v>
      </c>
      <c r="D66" s="5">
        <v>0.96599999999999997</v>
      </c>
      <c r="E66" s="3" t="s">
        <v>14</v>
      </c>
      <c r="F66" s="5">
        <v>130.08500000000001</v>
      </c>
      <c r="G66" s="3" t="s">
        <v>13</v>
      </c>
      <c r="H66" s="3">
        <f t="shared" ref="H66:H129" si="2">IF(C66=G66,1,0)</f>
        <v>1</v>
      </c>
      <c r="K66" s="3" t="str">
        <f t="shared" ref="K66:K129" si="3">IF(J66="","",IF(J66=G66,1,0))</f>
        <v/>
      </c>
    </row>
    <row r="67" spans="1:11" x14ac:dyDescent="0.25">
      <c r="A67" s="3">
        <v>2</v>
      </c>
      <c r="B67" s="13">
        <v>46258.390011574098</v>
      </c>
      <c r="C67" s="3" t="s">
        <v>22</v>
      </c>
      <c r="D67" s="5">
        <v>0.876</v>
      </c>
      <c r="E67" s="3" t="s">
        <v>14</v>
      </c>
      <c r="F67" s="5">
        <v>101.06100000000001</v>
      </c>
      <c r="G67" s="3" t="s">
        <v>22</v>
      </c>
      <c r="H67" s="3">
        <f t="shared" si="2"/>
        <v>1</v>
      </c>
      <c r="K67" s="3" t="str">
        <f t="shared" si="3"/>
        <v/>
      </c>
    </row>
    <row r="68" spans="1:11" x14ac:dyDescent="0.25">
      <c r="A68" s="3">
        <v>2</v>
      </c>
      <c r="B68" s="13">
        <v>46258.3902199074</v>
      </c>
      <c r="C68" s="3" t="s">
        <v>16</v>
      </c>
      <c r="D68" s="5">
        <v>0.90100000000000002</v>
      </c>
      <c r="E68" s="3" t="s">
        <v>14</v>
      </c>
      <c r="F68" s="5">
        <v>108.562</v>
      </c>
      <c r="G68" s="3" t="s">
        <v>16</v>
      </c>
      <c r="H68" s="3">
        <f t="shared" si="2"/>
        <v>1</v>
      </c>
      <c r="I68" s="3">
        <v>1</v>
      </c>
      <c r="J68" s="3" t="s">
        <v>16</v>
      </c>
      <c r="K68" s="3">
        <f t="shared" si="3"/>
        <v>1</v>
      </c>
    </row>
    <row r="69" spans="1:11" x14ac:dyDescent="0.25">
      <c r="A69" s="3">
        <v>2</v>
      </c>
      <c r="B69" s="13">
        <v>46258.390405092599</v>
      </c>
      <c r="C69" s="3" t="s">
        <v>37</v>
      </c>
      <c r="D69" s="5">
        <v>0.92900000000000005</v>
      </c>
      <c r="E69" s="3" t="s">
        <v>14</v>
      </c>
      <c r="F69" s="5">
        <v>103.11499999999999</v>
      </c>
      <c r="G69" s="3" t="s">
        <v>37</v>
      </c>
      <c r="H69" s="3">
        <f t="shared" si="2"/>
        <v>1</v>
      </c>
      <c r="K69" s="3" t="str">
        <f t="shared" si="3"/>
        <v/>
      </c>
    </row>
    <row r="70" spans="1:11" x14ac:dyDescent="0.25">
      <c r="A70" s="3">
        <v>2</v>
      </c>
      <c r="B70" s="13">
        <v>46258.390543981499</v>
      </c>
      <c r="C70" s="3" t="s">
        <v>28</v>
      </c>
      <c r="D70" s="5">
        <v>0.92600000000000005</v>
      </c>
      <c r="E70" s="3" t="s">
        <v>14</v>
      </c>
      <c r="F70" s="5">
        <v>148.51499999999999</v>
      </c>
      <c r="G70" s="3" t="s">
        <v>28</v>
      </c>
      <c r="H70" s="3">
        <f t="shared" si="2"/>
        <v>1</v>
      </c>
      <c r="I70" s="3">
        <v>1</v>
      </c>
      <c r="J70" s="3" t="s">
        <v>28</v>
      </c>
      <c r="K70" s="3">
        <f t="shared" si="3"/>
        <v>1</v>
      </c>
    </row>
    <row r="71" spans="1:11" x14ac:dyDescent="0.25">
      <c r="A71" s="3">
        <v>2</v>
      </c>
      <c r="B71" s="13">
        <v>46258.390682870398</v>
      </c>
      <c r="C71" s="3" t="s">
        <v>39</v>
      </c>
      <c r="D71" s="5">
        <v>0.92800000000000005</v>
      </c>
      <c r="E71" s="3" t="s">
        <v>14</v>
      </c>
      <c r="F71" s="5">
        <v>146.27199999999999</v>
      </c>
      <c r="G71" s="3" t="s">
        <v>39</v>
      </c>
      <c r="H71" s="3">
        <f t="shared" si="2"/>
        <v>1</v>
      </c>
      <c r="K71" s="3" t="str">
        <f t="shared" si="3"/>
        <v/>
      </c>
    </row>
    <row r="72" spans="1:11" x14ac:dyDescent="0.25">
      <c r="A72" s="3">
        <v>2</v>
      </c>
      <c r="B72" s="13">
        <v>46258.390810185199</v>
      </c>
      <c r="C72" s="3" t="s">
        <v>29</v>
      </c>
      <c r="D72" s="5">
        <v>0.96499999999999997</v>
      </c>
      <c r="E72" s="3" t="s">
        <v>14</v>
      </c>
      <c r="F72" s="5">
        <v>146.40100000000001</v>
      </c>
      <c r="G72" s="3" t="s">
        <v>29</v>
      </c>
      <c r="H72" s="3">
        <f t="shared" si="2"/>
        <v>1</v>
      </c>
      <c r="K72" s="3" t="str">
        <f t="shared" si="3"/>
        <v/>
      </c>
    </row>
    <row r="73" spans="1:11" x14ac:dyDescent="0.25">
      <c r="A73" s="3">
        <v>2</v>
      </c>
      <c r="B73" s="13">
        <v>46258.390972222202</v>
      </c>
      <c r="C73" s="3" t="s">
        <v>15</v>
      </c>
      <c r="D73" s="5">
        <v>0.88300000000000001</v>
      </c>
      <c r="E73" s="3" t="s">
        <v>14</v>
      </c>
      <c r="F73" s="5">
        <v>126.548</v>
      </c>
      <c r="G73" s="3" t="s">
        <v>15</v>
      </c>
      <c r="H73" s="3">
        <f t="shared" si="2"/>
        <v>1</v>
      </c>
      <c r="K73" s="3" t="str">
        <f t="shared" si="3"/>
        <v/>
      </c>
    </row>
    <row r="74" spans="1:11" x14ac:dyDescent="0.25">
      <c r="A74" s="3">
        <v>2</v>
      </c>
      <c r="B74" s="13">
        <v>46258.391064814801</v>
      </c>
      <c r="C74" s="3" t="s">
        <v>25</v>
      </c>
      <c r="D74" s="5">
        <v>0.98</v>
      </c>
      <c r="E74" s="3" t="s">
        <v>14</v>
      </c>
      <c r="F74" s="5">
        <v>121.798</v>
      </c>
      <c r="G74" s="3" t="s">
        <v>25</v>
      </c>
      <c r="H74" s="3">
        <f t="shared" si="2"/>
        <v>1</v>
      </c>
      <c r="K74" s="3" t="str">
        <f t="shared" si="3"/>
        <v/>
      </c>
    </row>
    <row r="75" spans="1:11" x14ac:dyDescent="0.25">
      <c r="A75" s="3">
        <v>2</v>
      </c>
      <c r="B75" s="13">
        <v>46258.391215277799</v>
      </c>
      <c r="C75" s="3" t="s">
        <v>34</v>
      </c>
      <c r="D75" s="5">
        <v>0.76200000000000001</v>
      </c>
      <c r="E75" s="3" t="s">
        <v>14</v>
      </c>
      <c r="F75" s="5">
        <v>104.489</v>
      </c>
      <c r="G75" s="3" t="s">
        <v>39</v>
      </c>
      <c r="H75" s="3">
        <f t="shared" si="2"/>
        <v>0</v>
      </c>
      <c r="K75" s="3" t="str">
        <f t="shared" si="3"/>
        <v/>
      </c>
    </row>
    <row r="76" spans="1:11" x14ac:dyDescent="0.25">
      <c r="A76" s="3">
        <v>2</v>
      </c>
      <c r="B76" s="13">
        <v>46258.391284722202</v>
      </c>
      <c r="C76" s="3" t="s">
        <v>34</v>
      </c>
      <c r="D76" s="5">
        <v>0.89100000000000001</v>
      </c>
      <c r="E76" s="3" t="s">
        <v>14</v>
      </c>
      <c r="F76" s="5">
        <v>112.441</v>
      </c>
      <c r="G76" s="3" t="s">
        <v>34</v>
      </c>
      <c r="H76" s="3">
        <f t="shared" si="2"/>
        <v>1</v>
      </c>
      <c r="K76" s="3" t="str">
        <f t="shared" si="3"/>
        <v/>
      </c>
    </row>
    <row r="77" spans="1:11" x14ac:dyDescent="0.25">
      <c r="A77" s="3">
        <v>2</v>
      </c>
      <c r="B77" s="13">
        <v>46258.3915277778</v>
      </c>
      <c r="C77" s="3" t="s">
        <v>38</v>
      </c>
      <c r="D77" s="5">
        <v>0.92300000000000004</v>
      </c>
      <c r="E77" s="3" t="s">
        <v>14</v>
      </c>
      <c r="F77" s="5">
        <v>115.483</v>
      </c>
      <c r="G77" s="3" t="s">
        <v>38</v>
      </c>
      <c r="H77" s="3">
        <f t="shared" si="2"/>
        <v>1</v>
      </c>
      <c r="K77" s="3" t="str">
        <f t="shared" si="3"/>
        <v/>
      </c>
    </row>
    <row r="78" spans="1:11" x14ac:dyDescent="0.25">
      <c r="A78" s="3">
        <v>2</v>
      </c>
      <c r="B78" s="13">
        <v>46258.3917013889</v>
      </c>
      <c r="C78" s="3" t="s">
        <v>11</v>
      </c>
      <c r="D78" s="5">
        <v>0.99</v>
      </c>
      <c r="E78" s="3" t="s">
        <v>12</v>
      </c>
      <c r="F78" s="5">
        <v>142.71799999999999</v>
      </c>
      <c r="G78" s="3" t="s">
        <v>11</v>
      </c>
      <c r="H78" s="3">
        <f t="shared" si="2"/>
        <v>1</v>
      </c>
      <c r="I78" s="3">
        <v>1</v>
      </c>
      <c r="J78" s="3" t="s">
        <v>11</v>
      </c>
      <c r="K78" s="3">
        <f t="shared" si="3"/>
        <v>1</v>
      </c>
    </row>
    <row r="79" spans="1:11" x14ac:dyDescent="0.25">
      <c r="A79" s="3">
        <v>2</v>
      </c>
      <c r="B79" s="13">
        <v>46258.391921296301</v>
      </c>
      <c r="C79" s="3" t="s">
        <v>23</v>
      </c>
      <c r="D79" s="5">
        <v>0.95899999999999996</v>
      </c>
      <c r="E79" s="3" t="s">
        <v>14</v>
      </c>
      <c r="F79" s="5">
        <v>108.968</v>
      </c>
      <c r="G79" s="3" t="s">
        <v>23</v>
      </c>
      <c r="H79" s="3">
        <f t="shared" si="2"/>
        <v>1</v>
      </c>
      <c r="K79" s="3" t="str">
        <f t="shared" si="3"/>
        <v/>
      </c>
    </row>
    <row r="80" spans="1:11" x14ac:dyDescent="0.25">
      <c r="A80" s="3">
        <v>2</v>
      </c>
      <c r="B80" s="13">
        <v>46258.392060185201</v>
      </c>
      <c r="C80" s="3" t="s">
        <v>18</v>
      </c>
      <c r="D80" s="5">
        <v>0.82099999999999995</v>
      </c>
      <c r="E80" s="3" t="s">
        <v>14</v>
      </c>
      <c r="F80" s="5">
        <v>123.896</v>
      </c>
      <c r="G80" s="3" t="s">
        <v>18</v>
      </c>
      <c r="H80" s="3">
        <f t="shared" si="2"/>
        <v>1</v>
      </c>
      <c r="K80" s="3" t="str">
        <f t="shared" si="3"/>
        <v/>
      </c>
    </row>
    <row r="81" spans="1:11" x14ac:dyDescent="0.25">
      <c r="A81" s="3">
        <v>2</v>
      </c>
      <c r="B81" s="13">
        <v>46258.392268518503</v>
      </c>
      <c r="C81" s="3" t="s">
        <v>13</v>
      </c>
      <c r="D81" s="5">
        <v>0.78300000000000003</v>
      </c>
      <c r="E81" s="3" t="s">
        <v>14</v>
      </c>
      <c r="F81" s="5">
        <v>108.673</v>
      </c>
      <c r="G81" s="3" t="s">
        <v>35</v>
      </c>
      <c r="H81" s="3">
        <f t="shared" si="2"/>
        <v>0</v>
      </c>
      <c r="K81" s="3" t="str">
        <f t="shared" si="3"/>
        <v/>
      </c>
    </row>
    <row r="82" spans="1:11" x14ac:dyDescent="0.25">
      <c r="A82" s="3">
        <v>2</v>
      </c>
      <c r="B82" s="13">
        <v>46258.392488425903</v>
      </c>
      <c r="C82" s="3" t="s">
        <v>21</v>
      </c>
      <c r="D82" s="5">
        <v>0.99</v>
      </c>
      <c r="E82" s="3" t="s">
        <v>14</v>
      </c>
      <c r="F82" s="5">
        <v>174.96600000000001</v>
      </c>
      <c r="G82" s="3" t="s">
        <v>21</v>
      </c>
      <c r="H82" s="3">
        <f t="shared" si="2"/>
        <v>1</v>
      </c>
      <c r="K82" s="3" t="str">
        <f t="shared" si="3"/>
        <v/>
      </c>
    </row>
    <row r="83" spans="1:11" x14ac:dyDescent="0.25">
      <c r="A83" s="3">
        <v>2</v>
      </c>
      <c r="B83" s="13">
        <v>46258.3926967593</v>
      </c>
      <c r="C83" s="3" t="s">
        <v>32</v>
      </c>
      <c r="D83" s="5">
        <v>0.84299999999999997</v>
      </c>
      <c r="E83" s="3" t="s">
        <v>14</v>
      </c>
      <c r="F83" s="5">
        <v>145.41</v>
      </c>
      <c r="G83" s="3" t="s">
        <v>32</v>
      </c>
      <c r="H83" s="3">
        <f t="shared" si="2"/>
        <v>1</v>
      </c>
      <c r="K83" s="3" t="str">
        <f t="shared" si="3"/>
        <v/>
      </c>
    </row>
    <row r="84" spans="1:11" x14ac:dyDescent="0.25">
      <c r="A84" s="3">
        <v>2</v>
      </c>
      <c r="B84" s="13">
        <v>46258.392939814803</v>
      </c>
      <c r="C84" s="3" t="s">
        <v>38</v>
      </c>
      <c r="D84" s="5">
        <v>0.97799999999999998</v>
      </c>
      <c r="E84" s="3" t="s">
        <v>14</v>
      </c>
      <c r="F84" s="5">
        <v>107.515</v>
      </c>
      <c r="G84" s="3" t="s">
        <v>38</v>
      </c>
      <c r="H84" s="3">
        <f t="shared" si="2"/>
        <v>1</v>
      </c>
      <c r="I84" s="3">
        <v>1</v>
      </c>
      <c r="J84" s="3" t="s">
        <v>38</v>
      </c>
      <c r="K84" s="3">
        <f t="shared" si="3"/>
        <v>1</v>
      </c>
    </row>
    <row r="85" spans="1:11" x14ac:dyDescent="0.25">
      <c r="A85" s="3">
        <v>2</v>
      </c>
      <c r="B85" s="13">
        <v>46258.3930555556</v>
      </c>
      <c r="C85" s="3" t="s">
        <v>13</v>
      </c>
      <c r="D85" s="5">
        <v>0.88800000000000001</v>
      </c>
      <c r="E85" s="3" t="s">
        <v>14</v>
      </c>
      <c r="F85" s="5">
        <v>103.271</v>
      </c>
      <c r="G85" s="3" t="s">
        <v>13</v>
      </c>
      <c r="H85" s="3">
        <f t="shared" si="2"/>
        <v>1</v>
      </c>
      <c r="K85" s="3" t="str">
        <f t="shared" si="3"/>
        <v/>
      </c>
    </row>
    <row r="86" spans="1:11" x14ac:dyDescent="0.25">
      <c r="A86" s="3">
        <v>2</v>
      </c>
      <c r="B86" s="13">
        <v>46258.393194444398</v>
      </c>
      <c r="C86" s="3" t="s">
        <v>13</v>
      </c>
      <c r="D86" s="5">
        <v>0.88500000000000001</v>
      </c>
      <c r="E86" s="3" t="s">
        <v>14</v>
      </c>
      <c r="F86" s="5">
        <v>111.592</v>
      </c>
      <c r="G86" s="3" t="s">
        <v>13</v>
      </c>
      <c r="H86" s="3">
        <f t="shared" si="2"/>
        <v>1</v>
      </c>
      <c r="K86" s="3" t="str">
        <f t="shared" si="3"/>
        <v/>
      </c>
    </row>
    <row r="87" spans="1:11" x14ac:dyDescent="0.25">
      <c r="A87" s="3">
        <v>2</v>
      </c>
      <c r="B87" s="13">
        <v>46258.393298611103</v>
      </c>
      <c r="C87" s="3" t="s">
        <v>21</v>
      </c>
      <c r="D87" s="5">
        <v>0.97399999999999998</v>
      </c>
      <c r="E87" s="3" t="s">
        <v>14</v>
      </c>
      <c r="F87" s="5">
        <v>112.78100000000001</v>
      </c>
      <c r="G87" s="3" t="s">
        <v>21</v>
      </c>
      <c r="H87" s="3">
        <f t="shared" si="2"/>
        <v>1</v>
      </c>
      <c r="K87" s="3" t="str">
        <f t="shared" si="3"/>
        <v/>
      </c>
    </row>
    <row r="88" spans="1:11" x14ac:dyDescent="0.25">
      <c r="A88" s="3">
        <v>2</v>
      </c>
      <c r="B88" s="13">
        <v>46258.393402777801</v>
      </c>
      <c r="C88" s="3" t="s">
        <v>22</v>
      </c>
      <c r="D88" s="5">
        <v>0.85299999999999998</v>
      </c>
      <c r="E88" s="3" t="s">
        <v>14</v>
      </c>
      <c r="F88" s="5">
        <v>85</v>
      </c>
      <c r="G88" s="3" t="s">
        <v>22</v>
      </c>
      <c r="H88" s="3">
        <f t="shared" si="2"/>
        <v>1</v>
      </c>
      <c r="K88" s="3" t="str">
        <f t="shared" si="3"/>
        <v/>
      </c>
    </row>
    <row r="89" spans="1:11" x14ac:dyDescent="0.25">
      <c r="A89" s="3">
        <v>2</v>
      </c>
      <c r="B89" s="13">
        <v>46258.393518518496</v>
      </c>
      <c r="C89" s="3" t="s">
        <v>36</v>
      </c>
      <c r="D89" s="5">
        <v>0.88700000000000001</v>
      </c>
      <c r="E89" s="3" t="s">
        <v>14</v>
      </c>
      <c r="F89" s="5">
        <v>101.97799999999999</v>
      </c>
      <c r="G89" s="3" t="s">
        <v>36</v>
      </c>
      <c r="H89" s="3">
        <f t="shared" si="2"/>
        <v>1</v>
      </c>
      <c r="K89" s="3" t="str">
        <f t="shared" si="3"/>
        <v/>
      </c>
    </row>
    <row r="90" spans="1:11" x14ac:dyDescent="0.25">
      <c r="A90" s="3">
        <v>2</v>
      </c>
      <c r="B90" s="13">
        <v>46258.393703703703</v>
      </c>
      <c r="C90" s="3" t="s">
        <v>31</v>
      </c>
      <c r="D90" s="5">
        <v>0.88600000000000001</v>
      </c>
      <c r="E90" s="3" t="s">
        <v>14</v>
      </c>
      <c r="F90" s="5">
        <v>107.85599999999999</v>
      </c>
      <c r="G90" s="3" t="s">
        <v>31</v>
      </c>
      <c r="H90" s="3">
        <f t="shared" si="2"/>
        <v>1</v>
      </c>
      <c r="I90" s="3">
        <v>1</v>
      </c>
      <c r="J90" s="3" t="s">
        <v>31</v>
      </c>
      <c r="K90" s="3">
        <f t="shared" si="3"/>
        <v>1</v>
      </c>
    </row>
    <row r="91" spans="1:11" x14ac:dyDescent="0.25">
      <c r="A91" s="3">
        <v>2</v>
      </c>
      <c r="B91" s="13">
        <v>46258.393831018497</v>
      </c>
      <c r="C91" s="3" t="s">
        <v>16</v>
      </c>
      <c r="D91" s="5">
        <v>0.89900000000000002</v>
      </c>
      <c r="E91" s="3" t="s">
        <v>14</v>
      </c>
      <c r="F91" s="5">
        <v>156.33099999999999</v>
      </c>
      <c r="G91" s="3" t="s">
        <v>16</v>
      </c>
      <c r="H91" s="3">
        <f t="shared" si="2"/>
        <v>1</v>
      </c>
      <c r="I91" s="3">
        <v>1</v>
      </c>
      <c r="J91" s="3" t="s">
        <v>16</v>
      </c>
      <c r="K91" s="3">
        <f t="shared" si="3"/>
        <v>1</v>
      </c>
    </row>
    <row r="92" spans="1:11" x14ac:dyDescent="0.25">
      <c r="A92" s="3">
        <v>2</v>
      </c>
      <c r="B92" s="13">
        <v>46258.393969907404</v>
      </c>
      <c r="C92" s="3" t="s">
        <v>13</v>
      </c>
      <c r="D92" s="5">
        <v>0.68700000000000006</v>
      </c>
      <c r="E92" s="3" t="s">
        <v>14</v>
      </c>
      <c r="F92" s="5">
        <v>143.762</v>
      </c>
      <c r="G92" s="3" t="s">
        <v>32</v>
      </c>
      <c r="H92" s="3">
        <f t="shared" si="2"/>
        <v>0</v>
      </c>
      <c r="K92" s="3" t="str">
        <f t="shared" si="3"/>
        <v/>
      </c>
    </row>
    <row r="93" spans="1:11" x14ac:dyDescent="0.25">
      <c r="A93" s="3">
        <v>2</v>
      </c>
      <c r="B93" s="13">
        <v>46258.394166666701</v>
      </c>
      <c r="C93" s="3" t="s">
        <v>36</v>
      </c>
      <c r="D93" s="5">
        <v>0.93200000000000005</v>
      </c>
      <c r="E93" s="3" t="s">
        <v>14</v>
      </c>
      <c r="F93" s="5">
        <v>146.047</v>
      </c>
      <c r="G93" s="3" t="s">
        <v>36</v>
      </c>
      <c r="H93" s="3">
        <f t="shared" si="2"/>
        <v>1</v>
      </c>
      <c r="I93" s="3">
        <v>1</v>
      </c>
      <c r="J93" s="3" t="s">
        <v>36</v>
      </c>
      <c r="K93" s="3">
        <f t="shared" si="3"/>
        <v>1</v>
      </c>
    </row>
    <row r="94" spans="1:11" x14ac:dyDescent="0.25">
      <c r="A94" s="3">
        <v>2</v>
      </c>
      <c r="B94" s="13">
        <v>46258.394490740699</v>
      </c>
      <c r="C94" s="3" t="s">
        <v>35</v>
      </c>
      <c r="D94" s="5">
        <v>0.94499999999999995</v>
      </c>
      <c r="E94" s="3" t="s">
        <v>14</v>
      </c>
      <c r="F94" s="5">
        <v>107.206</v>
      </c>
      <c r="G94" s="3" t="s">
        <v>35</v>
      </c>
      <c r="H94" s="3">
        <f t="shared" si="2"/>
        <v>1</v>
      </c>
      <c r="I94" s="3">
        <v>1</v>
      </c>
      <c r="J94" s="3" t="s">
        <v>35</v>
      </c>
      <c r="K94" s="3">
        <f t="shared" si="3"/>
        <v>1</v>
      </c>
    </row>
    <row r="95" spans="1:11" x14ac:dyDescent="0.25">
      <c r="A95" s="3">
        <v>2</v>
      </c>
      <c r="B95" s="13">
        <v>46258.394710648201</v>
      </c>
      <c r="C95" s="3" t="s">
        <v>13</v>
      </c>
      <c r="D95" s="5">
        <v>0.83699999999999997</v>
      </c>
      <c r="E95" s="3" t="s">
        <v>14</v>
      </c>
      <c r="F95" s="5">
        <v>122.556</v>
      </c>
      <c r="G95" s="3" t="s">
        <v>13</v>
      </c>
      <c r="H95" s="3">
        <f t="shared" si="2"/>
        <v>1</v>
      </c>
      <c r="K95" s="3" t="str">
        <f t="shared" si="3"/>
        <v/>
      </c>
    </row>
    <row r="96" spans="1:11" x14ac:dyDescent="0.25">
      <c r="A96" s="3">
        <v>2</v>
      </c>
      <c r="B96" s="13">
        <v>46258.394849536999</v>
      </c>
      <c r="C96" s="3" t="s">
        <v>30</v>
      </c>
      <c r="D96" s="5">
        <v>0.89100000000000001</v>
      </c>
      <c r="E96" s="3" t="s">
        <v>14</v>
      </c>
      <c r="F96" s="5">
        <v>104.048</v>
      </c>
      <c r="G96" s="3" t="s">
        <v>30</v>
      </c>
      <c r="H96" s="3">
        <f t="shared" si="2"/>
        <v>1</v>
      </c>
      <c r="K96" s="3" t="str">
        <f t="shared" si="3"/>
        <v/>
      </c>
    </row>
    <row r="97" spans="1:11" x14ac:dyDescent="0.25">
      <c r="A97" s="3">
        <v>2</v>
      </c>
      <c r="B97" s="13">
        <v>46258.394953703697</v>
      </c>
      <c r="C97" s="3" t="s">
        <v>23</v>
      </c>
      <c r="D97" s="5">
        <v>0.89500000000000002</v>
      </c>
      <c r="E97" s="3" t="s">
        <v>14</v>
      </c>
      <c r="F97" s="5">
        <v>87.950999999999993</v>
      </c>
      <c r="G97" s="3" t="s">
        <v>23</v>
      </c>
      <c r="H97" s="3">
        <f t="shared" si="2"/>
        <v>1</v>
      </c>
      <c r="K97" s="3" t="str">
        <f t="shared" si="3"/>
        <v/>
      </c>
    </row>
    <row r="98" spans="1:11" x14ac:dyDescent="0.25">
      <c r="A98" s="3">
        <v>2</v>
      </c>
      <c r="B98" s="13">
        <v>46258.395104166702</v>
      </c>
      <c r="C98" s="3" t="s">
        <v>38</v>
      </c>
      <c r="D98" s="5">
        <v>0.876</v>
      </c>
      <c r="E98" s="3" t="s">
        <v>14</v>
      </c>
      <c r="F98" s="5">
        <v>110.348</v>
      </c>
      <c r="G98" s="3" t="s">
        <v>38</v>
      </c>
      <c r="H98" s="3">
        <f t="shared" si="2"/>
        <v>1</v>
      </c>
      <c r="K98" s="3" t="str">
        <f t="shared" si="3"/>
        <v/>
      </c>
    </row>
    <row r="99" spans="1:11" x14ac:dyDescent="0.25">
      <c r="A99" s="3">
        <v>2</v>
      </c>
      <c r="B99" s="13">
        <v>46258.395208333299</v>
      </c>
      <c r="C99" s="3" t="s">
        <v>28</v>
      </c>
      <c r="D99" s="5">
        <v>0.91</v>
      </c>
      <c r="E99" s="3" t="s">
        <v>14</v>
      </c>
      <c r="F99" s="5">
        <v>85</v>
      </c>
      <c r="G99" s="3" t="s">
        <v>28</v>
      </c>
      <c r="H99" s="3">
        <f t="shared" si="2"/>
        <v>1</v>
      </c>
      <c r="I99" s="3">
        <v>1</v>
      </c>
      <c r="J99" s="3" t="s">
        <v>28</v>
      </c>
      <c r="K99" s="3">
        <f t="shared" si="3"/>
        <v>1</v>
      </c>
    </row>
    <row r="100" spans="1:11" x14ac:dyDescent="0.25">
      <c r="A100" s="3">
        <v>2</v>
      </c>
      <c r="B100" s="13">
        <v>46258.395393518498</v>
      </c>
      <c r="C100" s="3" t="s">
        <v>24</v>
      </c>
      <c r="D100" s="5">
        <v>0.95699999999999996</v>
      </c>
      <c r="E100" s="3" t="s">
        <v>14</v>
      </c>
      <c r="F100" s="5">
        <v>123.425</v>
      </c>
      <c r="G100" s="3" t="s">
        <v>21</v>
      </c>
      <c r="H100" s="3">
        <f t="shared" si="2"/>
        <v>0</v>
      </c>
      <c r="K100" s="3" t="str">
        <f t="shared" si="3"/>
        <v/>
      </c>
    </row>
    <row r="101" spans="1:11" x14ac:dyDescent="0.25">
      <c r="A101" s="3">
        <v>2</v>
      </c>
      <c r="B101" s="13">
        <v>46258.395462963003</v>
      </c>
      <c r="C101" s="3" t="s">
        <v>34</v>
      </c>
      <c r="D101" s="5">
        <v>0.97399999999999998</v>
      </c>
      <c r="E101" s="3" t="s">
        <v>14</v>
      </c>
      <c r="F101" s="5">
        <v>87.134</v>
      </c>
      <c r="G101" s="3" t="s">
        <v>34</v>
      </c>
      <c r="H101" s="3">
        <f t="shared" si="2"/>
        <v>1</v>
      </c>
      <c r="I101" s="3">
        <v>1</v>
      </c>
      <c r="J101" s="3" t="s">
        <v>34</v>
      </c>
      <c r="K101" s="3">
        <f t="shared" si="3"/>
        <v>1</v>
      </c>
    </row>
    <row r="102" spans="1:11" x14ac:dyDescent="0.25">
      <c r="A102" s="3">
        <v>3</v>
      </c>
      <c r="B102" s="13">
        <v>46258.407650462999</v>
      </c>
      <c r="C102" s="3" t="s">
        <v>17</v>
      </c>
      <c r="D102" s="5">
        <v>0.88300000000000001</v>
      </c>
      <c r="E102" s="3" t="s">
        <v>14</v>
      </c>
      <c r="F102" s="5">
        <v>121.40600000000001</v>
      </c>
      <c r="G102" s="3" t="s">
        <v>17</v>
      </c>
      <c r="H102" s="3">
        <f t="shared" si="2"/>
        <v>1</v>
      </c>
      <c r="K102" s="3" t="str">
        <f t="shared" si="3"/>
        <v/>
      </c>
    </row>
    <row r="103" spans="1:11" x14ac:dyDescent="0.25">
      <c r="A103" s="3">
        <v>3</v>
      </c>
      <c r="B103" s="13">
        <v>46258.407847222203</v>
      </c>
      <c r="C103" s="3" t="s">
        <v>25</v>
      </c>
      <c r="D103" s="5">
        <v>0.99</v>
      </c>
      <c r="E103" s="3" t="s">
        <v>14</v>
      </c>
      <c r="F103" s="5">
        <v>140.744</v>
      </c>
      <c r="G103" s="3" t="s">
        <v>25</v>
      </c>
      <c r="H103" s="3">
        <f t="shared" si="2"/>
        <v>1</v>
      </c>
      <c r="K103" s="3" t="str">
        <f t="shared" si="3"/>
        <v/>
      </c>
    </row>
    <row r="104" spans="1:11" x14ac:dyDescent="0.25">
      <c r="A104" s="3">
        <v>3</v>
      </c>
      <c r="B104" s="13">
        <v>46258.4079166667</v>
      </c>
      <c r="C104" s="3" t="s">
        <v>31</v>
      </c>
      <c r="D104" s="5">
        <v>0.97899999999999998</v>
      </c>
      <c r="E104" s="3" t="s">
        <v>14</v>
      </c>
      <c r="F104" s="5">
        <v>105.60899999999999</v>
      </c>
      <c r="G104" s="3" t="s">
        <v>31</v>
      </c>
      <c r="H104" s="3">
        <f t="shared" si="2"/>
        <v>1</v>
      </c>
      <c r="K104" s="3" t="str">
        <f t="shared" si="3"/>
        <v/>
      </c>
    </row>
    <row r="105" spans="1:11" x14ac:dyDescent="0.25">
      <c r="A105" s="3">
        <v>3</v>
      </c>
      <c r="B105" s="13">
        <v>46258.407997685201</v>
      </c>
      <c r="C105" s="3" t="s">
        <v>20</v>
      </c>
      <c r="D105" s="5">
        <v>0.84599999999999997</v>
      </c>
      <c r="E105" s="3" t="s">
        <v>12</v>
      </c>
      <c r="F105" s="5">
        <v>137.529</v>
      </c>
      <c r="G105" s="3" t="s">
        <v>20</v>
      </c>
      <c r="H105" s="3">
        <f t="shared" si="2"/>
        <v>1</v>
      </c>
      <c r="K105" s="3" t="str">
        <f t="shared" si="3"/>
        <v/>
      </c>
    </row>
    <row r="106" spans="1:11" x14ac:dyDescent="0.25">
      <c r="A106" s="3">
        <v>3</v>
      </c>
      <c r="B106" s="13">
        <v>46258.408101851899</v>
      </c>
      <c r="C106" s="3" t="s">
        <v>30</v>
      </c>
      <c r="D106" s="5">
        <v>0.9</v>
      </c>
      <c r="E106" s="3" t="s">
        <v>14</v>
      </c>
      <c r="F106" s="5">
        <v>102.28700000000001</v>
      </c>
      <c r="G106" s="3" t="s">
        <v>30</v>
      </c>
      <c r="H106" s="3">
        <f t="shared" si="2"/>
        <v>1</v>
      </c>
      <c r="I106" s="3">
        <v>1</v>
      </c>
      <c r="J106" s="3" t="s">
        <v>30</v>
      </c>
      <c r="K106" s="3">
        <f t="shared" si="3"/>
        <v>1</v>
      </c>
    </row>
    <row r="107" spans="1:11" x14ac:dyDescent="0.25">
      <c r="A107" s="3">
        <v>3</v>
      </c>
      <c r="B107" s="13">
        <v>46258.408217592601</v>
      </c>
      <c r="C107" s="3" t="s">
        <v>23</v>
      </c>
      <c r="D107" s="5">
        <v>0.85799999999999998</v>
      </c>
      <c r="E107" s="3" t="s">
        <v>14</v>
      </c>
      <c r="F107" s="5">
        <v>162.51900000000001</v>
      </c>
      <c r="G107" s="3" t="s">
        <v>23</v>
      </c>
      <c r="H107" s="3">
        <f t="shared" si="2"/>
        <v>1</v>
      </c>
      <c r="K107" s="3" t="str">
        <f t="shared" si="3"/>
        <v/>
      </c>
    </row>
    <row r="108" spans="1:11" x14ac:dyDescent="0.25">
      <c r="A108" s="3">
        <v>3</v>
      </c>
      <c r="B108" s="13">
        <v>46258.408449074101</v>
      </c>
      <c r="C108" s="3" t="s">
        <v>39</v>
      </c>
      <c r="D108" s="5">
        <v>0.97399999999999998</v>
      </c>
      <c r="E108" s="3" t="s">
        <v>14</v>
      </c>
      <c r="F108" s="5">
        <v>107.38</v>
      </c>
      <c r="G108" s="3" t="s">
        <v>39</v>
      </c>
      <c r="H108" s="3">
        <f t="shared" si="2"/>
        <v>1</v>
      </c>
      <c r="K108" s="3" t="str">
        <f t="shared" si="3"/>
        <v/>
      </c>
    </row>
    <row r="109" spans="1:11" x14ac:dyDescent="0.25">
      <c r="A109" s="3">
        <v>3</v>
      </c>
      <c r="B109" s="13">
        <v>46258.408564814803</v>
      </c>
      <c r="C109" s="3" t="s">
        <v>32</v>
      </c>
      <c r="D109" s="5">
        <v>0.70299999999999996</v>
      </c>
      <c r="E109" s="3" t="s">
        <v>14</v>
      </c>
      <c r="F109" s="5">
        <v>147.66999999999999</v>
      </c>
      <c r="G109" s="3" t="s">
        <v>13</v>
      </c>
      <c r="H109" s="3">
        <f t="shared" si="2"/>
        <v>0</v>
      </c>
      <c r="I109" s="3">
        <v>1</v>
      </c>
      <c r="J109" s="3" t="s">
        <v>32</v>
      </c>
      <c r="K109" s="3">
        <f t="shared" si="3"/>
        <v>0</v>
      </c>
    </row>
    <row r="110" spans="1:11" x14ac:dyDescent="0.25">
      <c r="A110" s="3">
        <v>3</v>
      </c>
      <c r="B110" s="13">
        <v>46258.408645833297</v>
      </c>
      <c r="C110" s="3" t="s">
        <v>16</v>
      </c>
      <c r="D110" s="5">
        <v>0.72499999999999998</v>
      </c>
      <c r="E110" s="3" t="s">
        <v>14</v>
      </c>
      <c r="F110" s="5">
        <v>102.41200000000001</v>
      </c>
      <c r="G110" s="3" t="s">
        <v>35</v>
      </c>
      <c r="H110" s="3">
        <f t="shared" si="2"/>
        <v>0</v>
      </c>
      <c r="K110" s="3" t="str">
        <f t="shared" si="3"/>
        <v/>
      </c>
    </row>
    <row r="111" spans="1:11" x14ac:dyDescent="0.25">
      <c r="A111" s="3">
        <v>3</v>
      </c>
      <c r="B111" s="13">
        <v>46258.408750000002</v>
      </c>
      <c r="C111" s="3" t="s">
        <v>36</v>
      </c>
      <c r="D111" s="5">
        <v>0.93100000000000005</v>
      </c>
      <c r="E111" s="3" t="s">
        <v>14</v>
      </c>
      <c r="F111" s="5">
        <v>135.24100000000001</v>
      </c>
      <c r="G111" s="3" t="s">
        <v>36</v>
      </c>
      <c r="H111" s="3">
        <f t="shared" si="2"/>
        <v>1</v>
      </c>
      <c r="K111" s="3" t="str">
        <f t="shared" si="3"/>
        <v/>
      </c>
    </row>
    <row r="112" spans="1:11" x14ac:dyDescent="0.25">
      <c r="A112" s="3">
        <v>3</v>
      </c>
      <c r="B112" s="13">
        <v>46258.408877314803</v>
      </c>
      <c r="C112" s="3" t="s">
        <v>17</v>
      </c>
      <c r="D112" s="5">
        <v>0.69799999999999995</v>
      </c>
      <c r="E112" s="3" t="s">
        <v>14</v>
      </c>
      <c r="F112" s="5">
        <v>93.105999999999995</v>
      </c>
      <c r="G112" s="3" t="s">
        <v>29</v>
      </c>
      <c r="H112" s="3">
        <f t="shared" si="2"/>
        <v>0</v>
      </c>
      <c r="K112" s="3" t="str">
        <f t="shared" si="3"/>
        <v/>
      </c>
    </row>
    <row r="113" spans="1:11" x14ac:dyDescent="0.25">
      <c r="A113" s="3">
        <v>3</v>
      </c>
      <c r="B113" s="13">
        <v>46258.409004629597</v>
      </c>
      <c r="C113" s="3" t="s">
        <v>22</v>
      </c>
      <c r="D113" s="5">
        <v>0.88200000000000001</v>
      </c>
      <c r="E113" s="3" t="s">
        <v>14</v>
      </c>
      <c r="F113" s="5">
        <v>119.505</v>
      </c>
      <c r="G113" s="3" t="s">
        <v>22</v>
      </c>
      <c r="H113" s="3">
        <f t="shared" si="2"/>
        <v>1</v>
      </c>
      <c r="K113" s="3" t="str">
        <f t="shared" si="3"/>
        <v/>
      </c>
    </row>
    <row r="114" spans="1:11" x14ac:dyDescent="0.25">
      <c r="A114" s="3">
        <v>3</v>
      </c>
      <c r="B114" s="13">
        <v>46258.409120370401</v>
      </c>
      <c r="C114" s="3" t="s">
        <v>34</v>
      </c>
      <c r="D114" s="5">
        <v>0.93</v>
      </c>
      <c r="E114" s="3" t="s">
        <v>14</v>
      </c>
      <c r="F114" s="5">
        <v>133.541</v>
      </c>
      <c r="G114" s="3" t="s">
        <v>34</v>
      </c>
      <c r="H114" s="3">
        <f t="shared" si="2"/>
        <v>1</v>
      </c>
      <c r="K114" s="3" t="str">
        <f t="shared" si="3"/>
        <v/>
      </c>
    </row>
    <row r="115" spans="1:11" x14ac:dyDescent="0.25">
      <c r="A115" s="3">
        <v>3</v>
      </c>
      <c r="B115" s="13">
        <v>46258.409236111103</v>
      </c>
      <c r="C115" s="3" t="s">
        <v>16</v>
      </c>
      <c r="D115" s="5">
        <v>0.91</v>
      </c>
      <c r="E115" s="3" t="s">
        <v>14</v>
      </c>
      <c r="F115" s="5">
        <v>97.799000000000007</v>
      </c>
      <c r="G115" s="3" t="s">
        <v>16</v>
      </c>
      <c r="H115" s="3">
        <f t="shared" si="2"/>
        <v>1</v>
      </c>
      <c r="I115" s="3">
        <v>1</v>
      </c>
      <c r="J115" s="3" t="s">
        <v>16</v>
      </c>
      <c r="K115" s="3">
        <f t="shared" si="3"/>
        <v>1</v>
      </c>
    </row>
    <row r="116" spans="1:11" x14ac:dyDescent="0.25">
      <c r="A116" s="3">
        <v>3</v>
      </c>
      <c r="B116" s="13">
        <v>46258.409386574102</v>
      </c>
      <c r="C116" s="3" t="s">
        <v>38</v>
      </c>
      <c r="D116" s="5">
        <v>0.91600000000000004</v>
      </c>
      <c r="E116" s="3" t="s">
        <v>14</v>
      </c>
      <c r="F116" s="5">
        <v>97.09</v>
      </c>
      <c r="G116" s="3" t="s">
        <v>38</v>
      </c>
      <c r="H116" s="3">
        <f t="shared" si="2"/>
        <v>1</v>
      </c>
      <c r="K116" s="3" t="str">
        <f t="shared" si="3"/>
        <v/>
      </c>
    </row>
    <row r="117" spans="1:11" x14ac:dyDescent="0.25">
      <c r="A117" s="3">
        <v>3</v>
      </c>
      <c r="B117" s="13">
        <v>46258.409479166701</v>
      </c>
      <c r="C117" s="3" t="s">
        <v>11</v>
      </c>
      <c r="D117" s="5">
        <v>0.78500000000000003</v>
      </c>
      <c r="E117" s="3" t="s">
        <v>12</v>
      </c>
      <c r="F117" s="5">
        <v>136.52600000000001</v>
      </c>
      <c r="G117" s="3" t="s">
        <v>27</v>
      </c>
      <c r="H117" s="3">
        <f t="shared" si="2"/>
        <v>0</v>
      </c>
      <c r="K117" s="3" t="str">
        <f t="shared" si="3"/>
        <v/>
      </c>
    </row>
    <row r="118" spans="1:11" x14ac:dyDescent="0.25">
      <c r="A118" s="3">
        <v>3</v>
      </c>
      <c r="B118" s="13">
        <v>46258.409629629597</v>
      </c>
      <c r="C118" s="3" t="s">
        <v>18</v>
      </c>
      <c r="D118" s="5">
        <v>0.99</v>
      </c>
      <c r="E118" s="3" t="s">
        <v>14</v>
      </c>
      <c r="F118" s="5">
        <v>105.129</v>
      </c>
      <c r="G118" s="3" t="s">
        <v>18</v>
      </c>
      <c r="H118" s="3">
        <f t="shared" si="2"/>
        <v>1</v>
      </c>
      <c r="K118" s="3" t="str">
        <f t="shared" si="3"/>
        <v/>
      </c>
    </row>
    <row r="119" spans="1:11" x14ac:dyDescent="0.25">
      <c r="A119" s="3">
        <v>3</v>
      </c>
      <c r="B119" s="13">
        <v>46258.409791666701</v>
      </c>
      <c r="C119" s="3" t="s">
        <v>11</v>
      </c>
      <c r="D119" s="5">
        <v>0.89800000000000002</v>
      </c>
      <c r="E119" s="3" t="s">
        <v>12</v>
      </c>
      <c r="F119" s="5">
        <v>149.267</v>
      </c>
      <c r="G119" s="3" t="s">
        <v>11</v>
      </c>
      <c r="H119" s="3">
        <f t="shared" si="2"/>
        <v>1</v>
      </c>
      <c r="K119" s="3" t="str">
        <f t="shared" si="3"/>
        <v/>
      </c>
    </row>
    <row r="120" spans="1:11" x14ac:dyDescent="0.25">
      <c r="A120" s="3">
        <v>3</v>
      </c>
      <c r="B120" s="13">
        <v>46258.409907407397</v>
      </c>
      <c r="C120" s="3" t="s">
        <v>19</v>
      </c>
      <c r="D120" s="5">
        <v>0.92</v>
      </c>
      <c r="E120" s="3" t="s">
        <v>14</v>
      </c>
      <c r="F120" s="5">
        <v>100.41500000000001</v>
      </c>
      <c r="G120" s="3" t="s">
        <v>19</v>
      </c>
      <c r="H120" s="3">
        <f t="shared" si="2"/>
        <v>1</v>
      </c>
      <c r="I120" s="3">
        <v>1</v>
      </c>
      <c r="J120" s="3" t="s">
        <v>19</v>
      </c>
      <c r="K120" s="3">
        <f t="shared" si="3"/>
        <v>1</v>
      </c>
    </row>
    <row r="121" spans="1:11" x14ac:dyDescent="0.25">
      <c r="A121" s="3">
        <v>3</v>
      </c>
      <c r="B121" s="13">
        <v>46258.409988425898</v>
      </c>
      <c r="C121" s="3" t="s">
        <v>13</v>
      </c>
      <c r="D121" s="5">
        <v>0.81200000000000006</v>
      </c>
      <c r="E121" s="3" t="s">
        <v>14</v>
      </c>
      <c r="F121" s="5">
        <v>119.59</v>
      </c>
      <c r="G121" s="3" t="s">
        <v>32</v>
      </c>
      <c r="H121" s="3">
        <f t="shared" si="2"/>
        <v>0</v>
      </c>
      <c r="K121" s="3" t="str">
        <f t="shared" si="3"/>
        <v/>
      </c>
    </row>
    <row r="122" spans="1:11" x14ac:dyDescent="0.25">
      <c r="A122" s="3">
        <v>3</v>
      </c>
      <c r="B122" s="13">
        <v>46258.410115740699</v>
      </c>
      <c r="C122" s="3" t="s">
        <v>33</v>
      </c>
      <c r="D122" s="5">
        <v>0.92</v>
      </c>
      <c r="E122" s="3" t="s">
        <v>14</v>
      </c>
      <c r="F122" s="5">
        <v>110.483</v>
      </c>
      <c r="G122" s="3" t="s">
        <v>33</v>
      </c>
      <c r="H122" s="3">
        <f t="shared" si="2"/>
        <v>1</v>
      </c>
      <c r="K122" s="3" t="str">
        <f t="shared" si="3"/>
        <v/>
      </c>
    </row>
    <row r="123" spans="1:11" x14ac:dyDescent="0.25">
      <c r="A123" s="3">
        <v>3</v>
      </c>
      <c r="B123" s="13">
        <v>46258.410208333298</v>
      </c>
      <c r="C123" s="3" t="s">
        <v>21</v>
      </c>
      <c r="D123" s="5">
        <v>0.88800000000000001</v>
      </c>
      <c r="E123" s="3" t="s">
        <v>14</v>
      </c>
      <c r="F123" s="5">
        <v>94.927000000000007</v>
      </c>
      <c r="G123" s="3" t="s">
        <v>21</v>
      </c>
      <c r="H123" s="3">
        <f t="shared" si="2"/>
        <v>1</v>
      </c>
      <c r="K123" s="3" t="str">
        <f t="shared" si="3"/>
        <v/>
      </c>
    </row>
    <row r="124" spans="1:11" x14ac:dyDescent="0.25">
      <c r="A124" s="3">
        <v>3</v>
      </c>
      <c r="B124" s="13">
        <v>46258.410347222198</v>
      </c>
      <c r="C124" s="3" t="s">
        <v>16</v>
      </c>
      <c r="D124" s="5">
        <v>0.84299999999999997</v>
      </c>
      <c r="E124" s="3" t="s">
        <v>14</v>
      </c>
      <c r="F124" s="5">
        <v>106.36499999999999</v>
      </c>
      <c r="G124" s="3" t="s">
        <v>16</v>
      </c>
      <c r="H124" s="3">
        <f t="shared" si="2"/>
        <v>1</v>
      </c>
      <c r="I124" s="3">
        <v>1</v>
      </c>
      <c r="J124" s="3" t="s">
        <v>16</v>
      </c>
      <c r="K124" s="3">
        <f t="shared" si="3"/>
        <v>1</v>
      </c>
    </row>
    <row r="125" spans="1:11" x14ac:dyDescent="0.25">
      <c r="A125" s="3">
        <v>3</v>
      </c>
      <c r="B125" s="13">
        <v>46258.410497685203</v>
      </c>
      <c r="C125" s="3" t="s">
        <v>11</v>
      </c>
      <c r="D125" s="5">
        <v>0.90900000000000003</v>
      </c>
      <c r="E125" s="3" t="s">
        <v>12</v>
      </c>
      <c r="F125" s="5">
        <v>154.596</v>
      </c>
      <c r="G125" s="3" t="s">
        <v>11</v>
      </c>
      <c r="H125" s="3">
        <f t="shared" si="2"/>
        <v>1</v>
      </c>
      <c r="I125" s="3">
        <v>1</v>
      </c>
      <c r="J125" s="3" t="s">
        <v>11</v>
      </c>
      <c r="K125" s="3">
        <f t="shared" si="3"/>
        <v>1</v>
      </c>
    </row>
    <row r="126" spans="1:11" x14ac:dyDescent="0.25">
      <c r="A126" s="3">
        <v>3</v>
      </c>
      <c r="B126" s="13">
        <v>46258.410613425898</v>
      </c>
      <c r="C126" s="3" t="s">
        <v>19</v>
      </c>
      <c r="D126" s="5">
        <v>0.92100000000000004</v>
      </c>
      <c r="E126" s="3" t="s">
        <v>14</v>
      </c>
      <c r="F126" s="5">
        <v>103.634</v>
      </c>
      <c r="G126" s="3" t="s">
        <v>19</v>
      </c>
      <c r="H126" s="3">
        <f t="shared" si="2"/>
        <v>1</v>
      </c>
      <c r="K126" s="3" t="str">
        <f t="shared" si="3"/>
        <v/>
      </c>
    </row>
    <row r="127" spans="1:11" x14ac:dyDescent="0.25">
      <c r="A127" s="3">
        <v>3</v>
      </c>
      <c r="B127" s="13">
        <v>46258.410729166702</v>
      </c>
      <c r="C127" s="3" t="s">
        <v>22</v>
      </c>
      <c r="D127" s="5">
        <v>0.88300000000000001</v>
      </c>
      <c r="E127" s="3" t="s">
        <v>14</v>
      </c>
      <c r="F127" s="5">
        <v>136.09800000000001</v>
      </c>
      <c r="G127" s="3" t="s">
        <v>22</v>
      </c>
      <c r="H127" s="3">
        <f t="shared" si="2"/>
        <v>1</v>
      </c>
      <c r="K127" s="3" t="str">
        <f t="shared" si="3"/>
        <v/>
      </c>
    </row>
    <row r="128" spans="1:11" x14ac:dyDescent="0.25">
      <c r="A128" s="3">
        <v>3</v>
      </c>
      <c r="B128" s="13">
        <v>46258.410844907397</v>
      </c>
      <c r="C128" s="3" t="s">
        <v>13</v>
      </c>
      <c r="D128" s="5">
        <v>0.83799999999999997</v>
      </c>
      <c r="E128" s="3" t="s">
        <v>14</v>
      </c>
      <c r="F128" s="5">
        <v>107.636</v>
      </c>
      <c r="G128" s="3" t="s">
        <v>13</v>
      </c>
      <c r="H128" s="3">
        <f t="shared" si="2"/>
        <v>1</v>
      </c>
      <c r="K128" s="3" t="str">
        <f t="shared" si="3"/>
        <v/>
      </c>
    </row>
    <row r="129" spans="1:11" x14ac:dyDescent="0.25">
      <c r="A129" s="3">
        <v>3</v>
      </c>
      <c r="B129" s="13">
        <v>46258.410937499997</v>
      </c>
      <c r="C129" s="3" t="s">
        <v>19</v>
      </c>
      <c r="D129" s="5">
        <v>0.82399999999999995</v>
      </c>
      <c r="E129" s="3" t="s">
        <v>14</v>
      </c>
      <c r="F129" s="5">
        <v>148.58000000000001</v>
      </c>
      <c r="G129" s="3" t="s">
        <v>39</v>
      </c>
      <c r="H129" s="3">
        <f t="shared" si="2"/>
        <v>0</v>
      </c>
      <c r="K129" s="3" t="str">
        <f t="shared" si="3"/>
        <v/>
      </c>
    </row>
    <row r="130" spans="1:11" x14ac:dyDescent="0.25">
      <c r="A130" s="3">
        <v>3</v>
      </c>
      <c r="B130" s="13">
        <v>46258.411087963003</v>
      </c>
      <c r="C130" s="3" t="s">
        <v>23</v>
      </c>
      <c r="D130" s="5">
        <v>0.83899999999999997</v>
      </c>
      <c r="E130" s="3" t="s">
        <v>14</v>
      </c>
      <c r="F130" s="5">
        <v>85</v>
      </c>
      <c r="G130" s="3" t="s">
        <v>23</v>
      </c>
      <c r="H130" s="3">
        <f t="shared" ref="H130:H193" si="4">IF(C130=G130,1,0)</f>
        <v>1</v>
      </c>
      <c r="I130" s="3">
        <v>1</v>
      </c>
      <c r="J130" s="3" t="s">
        <v>23</v>
      </c>
      <c r="K130" s="3">
        <f t="shared" ref="K130:K193" si="5">IF(J130="","",IF(J130=G130,1,0))</f>
        <v>1</v>
      </c>
    </row>
    <row r="131" spans="1:11" x14ac:dyDescent="0.25">
      <c r="A131" s="3">
        <v>3</v>
      </c>
      <c r="B131" s="13">
        <v>46258.411307870403</v>
      </c>
      <c r="C131" s="3" t="s">
        <v>39</v>
      </c>
      <c r="D131" s="5">
        <v>0.93600000000000005</v>
      </c>
      <c r="E131" s="3" t="s">
        <v>14</v>
      </c>
      <c r="F131" s="5">
        <v>112.11499999999999</v>
      </c>
      <c r="G131" s="3" t="s">
        <v>39</v>
      </c>
      <c r="H131" s="3">
        <f t="shared" si="4"/>
        <v>1</v>
      </c>
      <c r="K131" s="3" t="str">
        <f t="shared" si="5"/>
        <v/>
      </c>
    </row>
    <row r="132" spans="1:11" x14ac:dyDescent="0.25">
      <c r="A132" s="3">
        <v>3</v>
      </c>
      <c r="B132" s="13">
        <v>46258.411423611098</v>
      </c>
      <c r="C132" s="3" t="s">
        <v>25</v>
      </c>
      <c r="D132" s="5">
        <v>0.80400000000000005</v>
      </c>
      <c r="E132" s="3" t="s">
        <v>14</v>
      </c>
      <c r="F132" s="5">
        <v>137.31100000000001</v>
      </c>
      <c r="G132" s="3" t="s">
        <v>25</v>
      </c>
      <c r="H132" s="3">
        <f t="shared" si="4"/>
        <v>1</v>
      </c>
      <c r="K132" s="3" t="str">
        <f t="shared" si="5"/>
        <v/>
      </c>
    </row>
    <row r="133" spans="1:11" x14ac:dyDescent="0.25">
      <c r="A133" s="3">
        <v>3</v>
      </c>
      <c r="B133" s="13">
        <v>46258.411574074104</v>
      </c>
      <c r="C133" s="3" t="s">
        <v>23</v>
      </c>
      <c r="D133" s="5">
        <v>0.99</v>
      </c>
      <c r="E133" s="3" t="s">
        <v>14</v>
      </c>
      <c r="F133" s="5">
        <v>100.649</v>
      </c>
      <c r="G133" s="3" t="s">
        <v>23</v>
      </c>
      <c r="H133" s="3">
        <f t="shared" si="4"/>
        <v>1</v>
      </c>
      <c r="I133" s="3">
        <v>1</v>
      </c>
      <c r="J133" s="3" t="s">
        <v>23</v>
      </c>
      <c r="K133" s="3">
        <f t="shared" si="5"/>
        <v>1</v>
      </c>
    </row>
    <row r="134" spans="1:11" x14ac:dyDescent="0.25">
      <c r="A134" s="3">
        <v>3</v>
      </c>
      <c r="B134" s="13">
        <v>46258.411701388897</v>
      </c>
      <c r="C134" s="3" t="s">
        <v>30</v>
      </c>
      <c r="D134" s="5">
        <v>0.93899999999999995</v>
      </c>
      <c r="E134" s="3" t="s">
        <v>14</v>
      </c>
      <c r="F134" s="5">
        <v>125.146</v>
      </c>
      <c r="G134" s="3" t="s">
        <v>30</v>
      </c>
      <c r="H134" s="3">
        <f t="shared" si="4"/>
        <v>1</v>
      </c>
      <c r="I134" s="3">
        <v>1</v>
      </c>
      <c r="J134" s="3" t="s">
        <v>30</v>
      </c>
      <c r="K134" s="3">
        <f t="shared" si="5"/>
        <v>1</v>
      </c>
    </row>
    <row r="135" spans="1:11" x14ac:dyDescent="0.25">
      <c r="A135" s="3">
        <v>3</v>
      </c>
      <c r="B135" s="13">
        <v>46258.4118171296</v>
      </c>
      <c r="C135" s="3" t="s">
        <v>34</v>
      </c>
      <c r="D135" s="5">
        <v>0.88100000000000001</v>
      </c>
      <c r="E135" s="3" t="s">
        <v>14</v>
      </c>
      <c r="F135" s="5">
        <v>95.762</v>
      </c>
      <c r="G135" s="3" t="s">
        <v>34</v>
      </c>
      <c r="H135" s="3">
        <f t="shared" si="4"/>
        <v>1</v>
      </c>
      <c r="K135" s="3" t="str">
        <f t="shared" si="5"/>
        <v/>
      </c>
    </row>
    <row r="136" spans="1:11" x14ac:dyDescent="0.25">
      <c r="A136" s="3">
        <v>3</v>
      </c>
      <c r="B136" s="13">
        <v>46258.411909722199</v>
      </c>
      <c r="C136" s="3" t="s">
        <v>31</v>
      </c>
      <c r="D136" s="5">
        <v>0.94799999999999995</v>
      </c>
      <c r="E136" s="3" t="s">
        <v>14</v>
      </c>
      <c r="F136" s="5">
        <v>120.24</v>
      </c>
      <c r="G136" s="3" t="s">
        <v>31</v>
      </c>
      <c r="H136" s="3">
        <f t="shared" si="4"/>
        <v>1</v>
      </c>
      <c r="K136" s="3" t="str">
        <f t="shared" si="5"/>
        <v/>
      </c>
    </row>
    <row r="137" spans="1:11" x14ac:dyDescent="0.25">
      <c r="A137" s="3">
        <v>3</v>
      </c>
      <c r="B137" s="13">
        <v>46258.412071759303</v>
      </c>
      <c r="C137" s="3" t="s">
        <v>32</v>
      </c>
      <c r="D137" s="5">
        <v>0.874</v>
      </c>
      <c r="E137" s="3" t="s">
        <v>14</v>
      </c>
      <c r="F137" s="5">
        <v>103.2</v>
      </c>
      <c r="G137" s="3" t="s">
        <v>32</v>
      </c>
      <c r="H137" s="3">
        <f t="shared" si="4"/>
        <v>1</v>
      </c>
      <c r="K137" s="3" t="str">
        <f t="shared" si="5"/>
        <v/>
      </c>
    </row>
    <row r="138" spans="1:11" x14ac:dyDescent="0.25">
      <c r="A138" s="3">
        <v>3</v>
      </c>
      <c r="B138" s="13">
        <v>46258.4121759259</v>
      </c>
      <c r="C138" s="3" t="s">
        <v>38</v>
      </c>
      <c r="D138" s="5">
        <v>0.77400000000000002</v>
      </c>
      <c r="E138" s="3" t="s">
        <v>14</v>
      </c>
      <c r="F138" s="5">
        <v>118.989</v>
      </c>
      <c r="G138" s="3" t="s">
        <v>38</v>
      </c>
      <c r="H138" s="3">
        <f t="shared" si="4"/>
        <v>1</v>
      </c>
      <c r="K138" s="3" t="str">
        <f t="shared" si="5"/>
        <v/>
      </c>
    </row>
    <row r="139" spans="1:11" x14ac:dyDescent="0.25">
      <c r="A139" s="3">
        <v>3</v>
      </c>
      <c r="B139" s="13">
        <v>46258.412361111099</v>
      </c>
      <c r="C139" s="3" t="s">
        <v>21</v>
      </c>
      <c r="D139" s="5">
        <v>0.86399999999999999</v>
      </c>
      <c r="E139" s="3" t="s">
        <v>14</v>
      </c>
      <c r="F139" s="5">
        <v>140.62700000000001</v>
      </c>
      <c r="G139" s="3" t="s">
        <v>21</v>
      </c>
      <c r="H139" s="3">
        <f t="shared" si="4"/>
        <v>1</v>
      </c>
      <c r="I139" s="3">
        <v>1</v>
      </c>
      <c r="J139" s="3" t="s">
        <v>21</v>
      </c>
      <c r="K139" s="3">
        <f t="shared" si="5"/>
        <v>1</v>
      </c>
    </row>
    <row r="140" spans="1:11" x14ac:dyDescent="0.25">
      <c r="A140" s="3">
        <v>3</v>
      </c>
      <c r="B140" s="13">
        <v>46258.412511574097</v>
      </c>
      <c r="C140" s="3" t="s">
        <v>31</v>
      </c>
      <c r="D140" s="5">
        <v>0.85</v>
      </c>
      <c r="E140" s="3" t="s">
        <v>14</v>
      </c>
      <c r="F140" s="5">
        <v>85</v>
      </c>
      <c r="G140" s="3" t="s">
        <v>31</v>
      </c>
      <c r="H140" s="3">
        <f t="shared" si="4"/>
        <v>1</v>
      </c>
      <c r="K140" s="3" t="str">
        <f t="shared" si="5"/>
        <v/>
      </c>
    </row>
    <row r="141" spans="1:11" x14ac:dyDescent="0.25">
      <c r="A141" s="3">
        <v>3</v>
      </c>
      <c r="B141" s="13">
        <v>46258.412685185198</v>
      </c>
      <c r="C141" s="3" t="s">
        <v>22</v>
      </c>
      <c r="D141" s="5">
        <v>0.91400000000000003</v>
      </c>
      <c r="E141" s="3" t="s">
        <v>14</v>
      </c>
      <c r="F141" s="5">
        <v>122.852</v>
      </c>
      <c r="G141" s="3" t="s">
        <v>22</v>
      </c>
      <c r="H141" s="3">
        <f t="shared" si="4"/>
        <v>1</v>
      </c>
      <c r="K141" s="3" t="str">
        <f t="shared" si="5"/>
        <v/>
      </c>
    </row>
    <row r="142" spans="1:11" x14ac:dyDescent="0.25">
      <c r="A142" s="3">
        <v>3</v>
      </c>
      <c r="B142" s="13">
        <v>46258.4128009259</v>
      </c>
      <c r="C142" s="3" t="s">
        <v>16</v>
      </c>
      <c r="D142" s="5">
        <v>0.79300000000000004</v>
      </c>
      <c r="E142" s="3" t="s">
        <v>14</v>
      </c>
      <c r="F142" s="5">
        <v>128.429</v>
      </c>
      <c r="G142" s="3" t="s">
        <v>16</v>
      </c>
      <c r="H142" s="3">
        <f t="shared" si="4"/>
        <v>1</v>
      </c>
      <c r="K142" s="3" t="str">
        <f t="shared" si="5"/>
        <v/>
      </c>
    </row>
    <row r="143" spans="1:11" x14ac:dyDescent="0.25">
      <c r="A143" s="3">
        <v>3</v>
      </c>
      <c r="B143" s="13">
        <v>46258.4128935185</v>
      </c>
      <c r="C143" s="3" t="s">
        <v>32</v>
      </c>
      <c r="D143" s="5">
        <v>0.77400000000000002</v>
      </c>
      <c r="E143" s="3" t="s">
        <v>14</v>
      </c>
      <c r="F143" s="5">
        <v>134.39400000000001</v>
      </c>
      <c r="G143" s="3" t="s">
        <v>32</v>
      </c>
      <c r="H143" s="3">
        <f t="shared" si="4"/>
        <v>1</v>
      </c>
      <c r="K143" s="3" t="str">
        <f t="shared" si="5"/>
        <v/>
      </c>
    </row>
    <row r="144" spans="1:11" x14ac:dyDescent="0.25">
      <c r="A144" s="3">
        <v>3</v>
      </c>
      <c r="B144" s="13">
        <v>46258.413009259297</v>
      </c>
      <c r="C144" s="3" t="s">
        <v>39</v>
      </c>
      <c r="D144" s="5">
        <v>0.82599999999999996</v>
      </c>
      <c r="E144" s="3" t="s">
        <v>14</v>
      </c>
      <c r="F144" s="5">
        <v>120.02</v>
      </c>
      <c r="G144" s="3" t="s">
        <v>11</v>
      </c>
      <c r="H144" s="3">
        <f t="shared" si="4"/>
        <v>0</v>
      </c>
      <c r="I144" s="3">
        <v>1</v>
      </c>
      <c r="J144" s="3" t="s">
        <v>39</v>
      </c>
      <c r="K144" s="3">
        <f t="shared" si="5"/>
        <v>0</v>
      </c>
    </row>
    <row r="145" spans="1:11" x14ac:dyDescent="0.25">
      <c r="A145" s="3">
        <v>3</v>
      </c>
      <c r="B145" s="13">
        <v>46258.413124999999</v>
      </c>
      <c r="C145" s="3" t="s">
        <v>11</v>
      </c>
      <c r="D145" s="5">
        <v>0.91800000000000004</v>
      </c>
      <c r="E145" s="3" t="s">
        <v>12</v>
      </c>
      <c r="F145" s="5">
        <v>119.187</v>
      </c>
      <c r="G145" s="3" t="s">
        <v>11</v>
      </c>
      <c r="H145" s="3">
        <f t="shared" si="4"/>
        <v>1</v>
      </c>
      <c r="K145" s="3" t="str">
        <f t="shared" si="5"/>
        <v/>
      </c>
    </row>
    <row r="146" spans="1:11" x14ac:dyDescent="0.25">
      <c r="A146" s="3">
        <v>3</v>
      </c>
      <c r="B146" s="13">
        <v>46258.413240740701</v>
      </c>
      <c r="C146" s="3" t="s">
        <v>33</v>
      </c>
      <c r="D146" s="5">
        <v>0.875</v>
      </c>
      <c r="E146" s="3" t="s">
        <v>14</v>
      </c>
      <c r="F146" s="5">
        <v>141.86199999999999</v>
      </c>
      <c r="G146" s="3" t="s">
        <v>33</v>
      </c>
      <c r="H146" s="3">
        <f t="shared" si="4"/>
        <v>1</v>
      </c>
      <c r="I146" s="3">
        <v>1</v>
      </c>
      <c r="J146" s="3" t="s">
        <v>33</v>
      </c>
      <c r="K146" s="3">
        <f t="shared" si="5"/>
        <v>1</v>
      </c>
    </row>
    <row r="147" spans="1:11" x14ac:dyDescent="0.25">
      <c r="A147" s="3">
        <v>3</v>
      </c>
      <c r="B147" s="13">
        <v>46258.413402777798</v>
      </c>
      <c r="C147" s="3" t="s">
        <v>31</v>
      </c>
      <c r="D147" s="5">
        <v>0.90200000000000002</v>
      </c>
      <c r="E147" s="3" t="s">
        <v>14</v>
      </c>
      <c r="F147" s="5">
        <v>111.634</v>
      </c>
      <c r="G147" s="3" t="s">
        <v>31</v>
      </c>
      <c r="H147" s="3">
        <f t="shared" si="4"/>
        <v>1</v>
      </c>
      <c r="K147" s="3" t="str">
        <f t="shared" si="5"/>
        <v/>
      </c>
    </row>
    <row r="148" spans="1:11" x14ac:dyDescent="0.25">
      <c r="A148" s="3">
        <v>3</v>
      </c>
      <c r="B148" s="13">
        <v>46258.413506944496</v>
      </c>
      <c r="C148" s="3" t="s">
        <v>29</v>
      </c>
      <c r="D148" s="5">
        <v>0.96899999999999997</v>
      </c>
      <c r="E148" s="3" t="s">
        <v>14</v>
      </c>
      <c r="F148" s="5">
        <v>115.627</v>
      </c>
      <c r="G148" s="3" t="s">
        <v>29</v>
      </c>
      <c r="H148" s="3">
        <f t="shared" si="4"/>
        <v>1</v>
      </c>
      <c r="I148" s="3">
        <v>1</v>
      </c>
      <c r="J148" s="3" t="s">
        <v>29</v>
      </c>
      <c r="K148" s="3">
        <f t="shared" si="5"/>
        <v>1</v>
      </c>
    </row>
    <row r="149" spans="1:11" x14ac:dyDescent="0.25">
      <c r="A149" s="3">
        <v>3</v>
      </c>
      <c r="B149" s="13">
        <v>46258.4136111111</v>
      </c>
      <c r="C149" s="3" t="s">
        <v>35</v>
      </c>
      <c r="D149" s="5">
        <v>0.81799999999999995</v>
      </c>
      <c r="E149" s="3" t="s">
        <v>14</v>
      </c>
      <c r="F149" s="5">
        <v>97.863</v>
      </c>
      <c r="G149" s="3" t="s">
        <v>35</v>
      </c>
      <c r="H149" s="3">
        <f t="shared" si="4"/>
        <v>1</v>
      </c>
      <c r="K149" s="3" t="str">
        <f t="shared" si="5"/>
        <v/>
      </c>
    </row>
    <row r="150" spans="1:11" x14ac:dyDescent="0.25">
      <c r="A150" s="3">
        <v>3</v>
      </c>
      <c r="B150" s="13">
        <v>46258.413738425901</v>
      </c>
      <c r="C150" s="3" t="s">
        <v>29</v>
      </c>
      <c r="D150" s="5">
        <v>0.94199999999999995</v>
      </c>
      <c r="E150" s="3" t="s">
        <v>14</v>
      </c>
      <c r="F150" s="5">
        <v>137.91999999999999</v>
      </c>
      <c r="G150" s="3" t="s">
        <v>29</v>
      </c>
      <c r="H150" s="3">
        <f t="shared" si="4"/>
        <v>1</v>
      </c>
      <c r="K150" s="3" t="str">
        <f t="shared" si="5"/>
        <v/>
      </c>
    </row>
    <row r="151" spans="1:11" x14ac:dyDescent="0.25">
      <c r="A151" s="3">
        <v>3</v>
      </c>
      <c r="B151" s="13">
        <v>46258.4139236111</v>
      </c>
      <c r="C151" s="3" t="s">
        <v>39</v>
      </c>
      <c r="D151" s="5">
        <v>0.879</v>
      </c>
      <c r="E151" s="3" t="s">
        <v>14</v>
      </c>
      <c r="F151" s="5">
        <v>103.19799999999999</v>
      </c>
      <c r="G151" s="3" t="s">
        <v>39</v>
      </c>
      <c r="H151" s="3">
        <f t="shared" si="4"/>
        <v>1</v>
      </c>
      <c r="I151" s="3">
        <v>1</v>
      </c>
      <c r="J151" s="3" t="s">
        <v>39</v>
      </c>
      <c r="K151" s="3">
        <f t="shared" si="5"/>
        <v>1</v>
      </c>
    </row>
    <row r="152" spans="1:11" x14ac:dyDescent="0.25">
      <c r="A152" s="3">
        <v>3</v>
      </c>
      <c r="B152" s="13">
        <v>46258.414050925901</v>
      </c>
      <c r="C152" s="3" t="s">
        <v>22</v>
      </c>
      <c r="D152" s="5">
        <v>0.97299999999999998</v>
      </c>
      <c r="E152" s="3" t="s">
        <v>14</v>
      </c>
      <c r="F152" s="5">
        <v>109.977</v>
      </c>
      <c r="G152" s="3" t="s">
        <v>22</v>
      </c>
      <c r="H152" s="3">
        <f t="shared" si="4"/>
        <v>1</v>
      </c>
      <c r="K152" s="3" t="str">
        <f t="shared" si="5"/>
        <v/>
      </c>
    </row>
    <row r="153" spans="1:11" x14ac:dyDescent="0.25">
      <c r="A153" s="3">
        <v>3</v>
      </c>
      <c r="B153" s="13">
        <v>46258.414224537002</v>
      </c>
      <c r="C153" s="3" t="s">
        <v>13</v>
      </c>
      <c r="D153" s="5">
        <v>0.90400000000000003</v>
      </c>
      <c r="E153" s="3" t="s">
        <v>14</v>
      </c>
      <c r="F153" s="5">
        <v>98.168999999999997</v>
      </c>
      <c r="G153" s="3" t="s">
        <v>13</v>
      </c>
      <c r="H153" s="3">
        <f t="shared" si="4"/>
        <v>1</v>
      </c>
      <c r="I153" s="3">
        <v>1</v>
      </c>
      <c r="J153" s="3" t="s">
        <v>32</v>
      </c>
      <c r="K153" s="3">
        <f t="shared" si="5"/>
        <v>0</v>
      </c>
    </row>
    <row r="154" spans="1:11" x14ac:dyDescent="0.25">
      <c r="A154" s="3">
        <v>3</v>
      </c>
      <c r="B154" s="13">
        <v>46258.414351851898</v>
      </c>
      <c r="C154" s="3" t="s">
        <v>30</v>
      </c>
      <c r="D154" s="5">
        <v>0.91600000000000004</v>
      </c>
      <c r="E154" s="3" t="s">
        <v>14</v>
      </c>
      <c r="F154" s="5">
        <v>110.944</v>
      </c>
      <c r="G154" s="3" t="s">
        <v>30</v>
      </c>
      <c r="H154" s="3">
        <f t="shared" si="4"/>
        <v>1</v>
      </c>
      <c r="K154" s="3" t="str">
        <f t="shared" si="5"/>
        <v/>
      </c>
    </row>
    <row r="155" spans="1:11" x14ac:dyDescent="0.25">
      <c r="A155" s="3">
        <v>3</v>
      </c>
      <c r="B155" s="13">
        <v>46258.414490740703</v>
      </c>
      <c r="C155" s="3" t="s">
        <v>17</v>
      </c>
      <c r="D155" s="5">
        <v>0.86099999999999999</v>
      </c>
      <c r="E155" s="3" t="s">
        <v>14</v>
      </c>
      <c r="F155" s="5">
        <v>131.774</v>
      </c>
      <c r="G155" s="3" t="s">
        <v>17</v>
      </c>
      <c r="H155" s="3">
        <f t="shared" si="4"/>
        <v>1</v>
      </c>
      <c r="K155" s="3" t="str">
        <f t="shared" si="5"/>
        <v/>
      </c>
    </row>
    <row r="156" spans="1:11" x14ac:dyDescent="0.25">
      <c r="A156" s="3">
        <v>3</v>
      </c>
      <c r="B156" s="13">
        <v>46258.414618055598</v>
      </c>
      <c r="C156" s="3" t="s">
        <v>19</v>
      </c>
      <c r="D156" s="5">
        <v>0.90500000000000003</v>
      </c>
      <c r="E156" s="3" t="s">
        <v>14</v>
      </c>
      <c r="F156" s="5">
        <v>90.65</v>
      </c>
      <c r="G156" s="3" t="s">
        <v>19</v>
      </c>
      <c r="H156" s="3">
        <f t="shared" si="4"/>
        <v>1</v>
      </c>
      <c r="K156" s="3" t="str">
        <f t="shared" si="5"/>
        <v/>
      </c>
    </row>
    <row r="157" spans="1:11" x14ac:dyDescent="0.25">
      <c r="A157" s="3">
        <v>3</v>
      </c>
      <c r="B157" s="13">
        <v>46258.414699074099</v>
      </c>
      <c r="C157" s="3" t="s">
        <v>18</v>
      </c>
      <c r="D157" s="5">
        <v>0.88500000000000001</v>
      </c>
      <c r="E157" s="3" t="s">
        <v>14</v>
      </c>
      <c r="F157" s="5">
        <v>85</v>
      </c>
      <c r="G157" s="3" t="s">
        <v>18</v>
      </c>
      <c r="H157" s="3">
        <f t="shared" si="4"/>
        <v>1</v>
      </c>
      <c r="K157" s="3" t="str">
        <f t="shared" si="5"/>
        <v/>
      </c>
    </row>
    <row r="158" spans="1:11" x14ac:dyDescent="0.25">
      <c r="A158" s="3">
        <v>4</v>
      </c>
      <c r="B158" s="13">
        <v>46258.421550925901</v>
      </c>
      <c r="C158" s="3" t="s">
        <v>37</v>
      </c>
      <c r="D158" s="5">
        <v>0.91200000000000003</v>
      </c>
      <c r="E158" s="3" t="s">
        <v>14</v>
      </c>
      <c r="F158" s="5">
        <v>122.593</v>
      </c>
      <c r="G158" s="3" t="s">
        <v>37</v>
      </c>
      <c r="H158" s="3">
        <f t="shared" si="4"/>
        <v>1</v>
      </c>
      <c r="I158" s="3">
        <v>1</v>
      </c>
      <c r="J158" s="3" t="s">
        <v>37</v>
      </c>
      <c r="K158" s="3">
        <f t="shared" si="5"/>
        <v>1</v>
      </c>
    </row>
    <row r="159" spans="1:11" x14ac:dyDescent="0.25">
      <c r="A159" s="3">
        <v>4</v>
      </c>
      <c r="B159" s="13">
        <v>46258.421898148197</v>
      </c>
      <c r="C159" s="3" t="s">
        <v>38</v>
      </c>
      <c r="D159" s="5">
        <v>0.86199999999999999</v>
      </c>
      <c r="E159" s="3" t="s">
        <v>14</v>
      </c>
      <c r="F159" s="5">
        <v>142.316</v>
      </c>
      <c r="G159" s="3" t="s">
        <v>38</v>
      </c>
      <c r="H159" s="3">
        <f t="shared" si="4"/>
        <v>1</v>
      </c>
      <c r="K159" s="3" t="str">
        <f t="shared" si="5"/>
        <v/>
      </c>
    </row>
    <row r="160" spans="1:11" x14ac:dyDescent="0.25">
      <c r="A160" s="3">
        <v>4</v>
      </c>
      <c r="B160" s="13">
        <v>46258.422037037002</v>
      </c>
      <c r="C160" s="3" t="s">
        <v>20</v>
      </c>
      <c r="D160" s="5">
        <v>0.89300000000000002</v>
      </c>
      <c r="E160" s="3" t="s">
        <v>12</v>
      </c>
      <c r="F160" s="5">
        <v>155.6</v>
      </c>
      <c r="G160" s="3" t="s">
        <v>20</v>
      </c>
      <c r="H160" s="3">
        <f t="shared" si="4"/>
        <v>1</v>
      </c>
      <c r="K160" s="3" t="str">
        <f t="shared" si="5"/>
        <v/>
      </c>
    </row>
    <row r="161" spans="1:11" x14ac:dyDescent="0.25">
      <c r="A161" s="3">
        <v>4</v>
      </c>
      <c r="B161" s="13">
        <v>46258.422210648198</v>
      </c>
      <c r="C161" s="3" t="s">
        <v>15</v>
      </c>
      <c r="D161" s="5">
        <v>0.80400000000000005</v>
      </c>
      <c r="E161" s="3" t="s">
        <v>14</v>
      </c>
      <c r="F161" s="5">
        <v>124.85</v>
      </c>
      <c r="G161" s="3" t="s">
        <v>32</v>
      </c>
      <c r="H161" s="3">
        <f t="shared" si="4"/>
        <v>0</v>
      </c>
      <c r="K161" s="3" t="str">
        <f t="shared" si="5"/>
        <v/>
      </c>
    </row>
    <row r="162" spans="1:11" x14ac:dyDescent="0.25">
      <c r="A162" s="3">
        <v>4</v>
      </c>
      <c r="B162" s="13">
        <v>46258.422627314802</v>
      </c>
      <c r="C162" s="3" t="s">
        <v>15</v>
      </c>
      <c r="D162" s="5">
        <v>0.99</v>
      </c>
      <c r="E162" s="3" t="s">
        <v>14</v>
      </c>
      <c r="F162" s="5">
        <v>152.81399999999999</v>
      </c>
      <c r="G162" s="3" t="s">
        <v>15</v>
      </c>
      <c r="H162" s="3">
        <f t="shared" si="4"/>
        <v>1</v>
      </c>
      <c r="I162" s="3">
        <v>1</v>
      </c>
      <c r="J162" s="3" t="s">
        <v>15</v>
      </c>
      <c r="K162" s="3">
        <f t="shared" si="5"/>
        <v>1</v>
      </c>
    </row>
    <row r="163" spans="1:11" x14ac:dyDescent="0.25">
      <c r="A163" s="3">
        <v>4</v>
      </c>
      <c r="B163" s="13">
        <v>46258.422916666699</v>
      </c>
      <c r="C163" s="3" t="s">
        <v>23</v>
      </c>
      <c r="D163" s="5">
        <v>0.9</v>
      </c>
      <c r="E163" s="3" t="s">
        <v>14</v>
      </c>
      <c r="F163" s="5">
        <v>128.023</v>
      </c>
      <c r="G163" s="3" t="s">
        <v>23</v>
      </c>
      <c r="H163" s="3">
        <f t="shared" si="4"/>
        <v>1</v>
      </c>
      <c r="K163" s="3" t="str">
        <f t="shared" si="5"/>
        <v/>
      </c>
    </row>
    <row r="164" spans="1:11" x14ac:dyDescent="0.25">
      <c r="A164" s="3">
        <v>4</v>
      </c>
      <c r="B164" s="13">
        <v>46258.423206018502</v>
      </c>
      <c r="C164" s="3" t="s">
        <v>34</v>
      </c>
      <c r="D164" s="5">
        <v>0.99</v>
      </c>
      <c r="E164" s="3" t="s">
        <v>14</v>
      </c>
      <c r="F164" s="5">
        <v>110.256</v>
      </c>
      <c r="G164" s="3" t="s">
        <v>34</v>
      </c>
      <c r="H164" s="3">
        <f t="shared" si="4"/>
        <v>1</v>
      </c>
      <c r="K164" s="3" t="str">
        <f t="shared" si="5"/>
        <v/>
      </c>
    </row>
    <row r="165" spans="1:11" x14ac:dyDescent="0.25">
      <c r="A165" s="3">
        <v>4</v>
      </c>
      <c r="B165" s="13">
        <v>46258.423414351899</v>
      </c>
      <c r="C165" s="3" t="s">
        <v>31</v>
      </c>
      <c r="D165" s="5">
        <v>0.876</v>
      </c>
      <c r="E165" s="3" t="s">
        <v>14</v>
      </c>
      <c r="F165" s="5">
        <v>112.128</v>
      </c>
      <c r="G165" s="3" t="s">
        <v>31</v>
      </c>
      <c r="H165" s="3">
        <f t="shared" si="4"/>
        <v>1</v>
      </c>
      <c r="I165" s="3">
        <v>1</v>
      </c>
      <c r="J165" s="3" t="s">
        <v>31</v>
      </c>
      <c r="K165" s="3">
        <f t="shared" si="5"/>
        <v>1</v>
      </c>
    </row>
    <row r="166" spans="1:11" x14ac:dyDescent="0.25">
      <c r="A166" s="3">
        <v>4</v>
      </c>
      <c r="B166" s="13">
        <v>46258.423692129603</v>
      </c>
      <c r="C166" s="3" t="s">
        <v>21</v>
      </c>
      <c r="D166" s="5">
        <v>0.85</v>
      </c>
      <c r="E166" s="3" t="s">
        <v>14</v>
      </c>
      <c r="F166" s="5">
        <v>137.76400000000001</v>
      </c>
      <c r="G166" s="3" t="s">
        <v>21</v>
      </c>
      <c r="H166" s="3">
        <f t="shared" si="4"/>
        <v>1</v>
      </c>
      <c r="K166" s="3" t="str">
        <f t="shared" si="5"/>
        <v/>
      </c>
    </row>
    <row r="167" spans="1:11" x14ac:dyDescent="0.25">
      <c r="A167" s="3">
        <v>4</v>
      </c>
      <c r="B167" s="13">
        <v>46258.424027777801</v>
      </c>
      <c r="C167" s="3" t="s">
        <v>36</v>
      </c>
      <c r="D167" s="5">
        <v>0.80400000000000005</v>
      </c>
      <c r="E167" s="3" t="s">
        <v>14</v>
      </c>
      <c r="F167" s="5">
        <v>150.30099999999999</v>
      </c>
      <c r="G167" s="3" t="s">
        <v>36</v>
      </c>
      <c r="H167" s="3">
        <f t="shared" si="4"/>
        <v>1</v>
      </c>
      <c r="K167" s="3" t="str">
        <f t="shared" si="5"/>
        <v/>
      </c>
    </row>
    <row r="168" spans="1:11" x14ac:dyDescent="0.25">
      <c r="A168" s="3">
        <v>4</v>
      </c>
      <c r="B168" s="13">
        <v>46258.424317129597</v>
      </c>
      <c r="C168" s="3" t="s">
        <v>16</v>
      </c>
      <c r="D168" s="5">
        <v>0.69199999999999995</v>
      </c>
      <c r="E168" s="3" t="s">
        <v>14</v>
      </c>
      <c r="F168" s="5">
        <v>101.455</v>
      </c>
      <c r="G168" s="3" t="s">
        <v>13</v>
      </c>
      <c r="H168" s="3">
        <f t="shared" si="4"/>
        <v>0</v>
      </c>
      <c r="K168" s="3" t="str">
        <f t="shared" si="5"/>
        <v/>
      </c>
    </row>
    <row r="169" spans="1:11" x14ac:dyDescent="0.25">
      <c r="A169" s="3">
        <v>4</v>
      </c>
      <c r="B169" s="13">
        <v>46258.4247106482</v>
      </c>
      <c r="C169" s="3" t="s">
        <v>17</v>
      </c>
      <c r="D169" s="5">
        <v>0.99</v>
      </c>
      <c r="E169" s="3" t="s">
        <v>14</v>
      </c>
      <c r="F169" s="5">
        <v>88.977000000000004</v>
      </c>
      <c r="G169" s="3" t="s">
        <v>17</v>
      </c>
      <c r="H169" s="3">
        <f t="shared" si="4"/>
        <v>1</v>
      </c>
      <c r="I169" s="3">
        <v>1</v>
      </c>
      <c r="J169" s="3" t="s">
        <v>17</v>
      </c>
      <c r="K169" s="3">
        <f t="shared" si="5"/>
        <v>1</v>
      </c>
    </row>
    <row r="170" spans="1:11" x14ac:dyDescent="0.25">
      <c r="A170" s="3">
        <v>4</v>
      </c>
      <c r="B170" s="13">
        <v>46258.424907407403</v>
      </c>
      <c r="C170" s="3" t="s">
        <v>16</v>
      </c>
      <c r="D170" s="5">
        <v>0.85</v>
      </c>
      <c r="E170" s="3" t="s">
        <v>14</v>
      </c>
      <c r="F170" s="5">
        <v>112.989</v>
      </c>
      <c r="G170" s="3" t="s">
        <v>16</v>
      </c>
      <c r="H170" s="3">
        <f t="shared" si="4"/>
        <v>1</v>
      </c>
      <c r="I170" s="3">
        <v>1</v>
      </c>
      <c r="J170" s="3" t="s">
        <v>16</v>
      </c>
      <c r="K170" s="3">
        <f t="shared" si="5"/>
        <v>1</v>
      </c>
    </row>
    <row r="171" spans="1:11" x14ac:dyDescent="0.25">
      <c r="A171" s="3">
        <v>4</v>
      </c>
      <c r="B171" s="13">
        <v>46258.425092592603</v>
      </c>
      <c r="C171" s="3" t="s">
        <v>11</v>
      </c>
      <c r="D171" s="5">
        <v>0.82799999999999996</v>
      </c>
      <c r="E171" s="3" t="s">
        <v>12</v>
      </c>
      <c r="F171" s="5">
        <v>169.33099999999999</v>
      </c>
      <c r="G171" s="3" t="s">
        <v>11</v>
      </c>
      <c r="H171" s="3">
        <f t="shared" si="4"/>
        <v>1</v>
      </c>
      <c r="K171" s="3" t="str">
        <f t="shared" si="5"/>
        <v/>
      </c>
    </row>
    <row r="172" spans="1:11" x14ac:dyDescent="0.25">
      <c r="A172" s="3">
        <v>4</v>
      </c>
      <c r="B172" s="13">
        <v>46258.425416666701</v>
      </c>
      <c r="C172" s="3" t="s">
        <v>30</v>
      </c>
      <c r="D172" s="5">
        <v>0.93400000000000005</v>
      </c>
      <c r="E172" s="3" t="s">
        <v>14</v>
      </c>
      <c r="F172" s="5">
        <v>135.14699999999999</v>
      </c>
      <c r="G172" s="3" t="s">
        <v>30</v>
      </c>
      <c r="H172" s="3">
        <f t="shared" si="4"/>
        <v>1</v>
      </c>
      <c r="K172" s="3" t="str">
        <f t="shared" si="5"/>
        <v/>
      </c>
    </row>
    <row r="173" spans="1:11" x14ac:dyDescent="0.25">
      <c r="A173" s="3">
        <v>4</v>
      </c>
      <c r="B173" s="13">
        <v>46258.425590277802</v>
      </c>
      <c r="C173" s="3" t="s">
        <v>19</v>
      </c>
      <c r="D173" s="5">
        <v>0.89900000000000002</v>
      </c>
      <c r="E173" s="3" t="s">
        <v>14</v>
      </c>
      <c r="F173" s="5">
        <v>101.262</v>
      </c>
      <c r="G173" s="3" t="s">
        <v>19</v>
      </c>
      <c r="H173" s="3">
        <f t="shared" si="4"/>
        <v>1</v>
      </c>
      <c r="I173" s="3">
        <v>1</v>
      </c>
      <c r="J173" s="3" t="s">
        <v>19</v>
      </c>
      <c r="K173" s="3">
        <f t="shared" si="5"/>
        <v>1</v>
      </c>
    </row>
    <row r="174" spans="1:11" x14ac:dyDescent="0.25">
      <c r="A174" s="3">
        <v>4</v>
      </c>
      <c r="B174" s="13">
        <v>46258.425717592603</v>
      </c>
      <c r="C174" s="3" t="s">
        <v>18</v>
      </c>
      <c r="D174" s="5">
        <v>0.85199999999999998</v>
      </c>
      <c r="E174" s="3" t="s">
        <v>14</v>
      </c>
      <c r="F174" s="5">
        <v>123.804</v>
      </c>
      <c r="G174" s="3" t="s">
        <v>18</v>
      </c>
      <c r="H174" s="3">
        <f t="shared" si="4"/>
        <v>1</v>
      </c>
      <c r="I174" s="3">
        <v>1</v>
      </c>
      <c r="J174" s="3" t="s">
        <v>18</v>
      </c>
      <c r="K174" s="3">
        <f t="shared" si="5"/>
        <v>1</v>
      </c>
    </row>
    <row r="175" spans="1:11" x14ac:dyDescent="0.25">
      <c r="A175" s="3">
        <v>4</v>
      </c>
      <c r="B175" s="13">
        <v>46258.425891203697</v>
      </c>
      <c r="C175" s="3" t="s">
        <v>39</v>
      </c>
      <c r="D175" s="5">
        <v>0.80600000000000005</v>
      </c>
      <c r="E175" s="3" t="s">
        <v>14</v>
      </c>
      <c r="F175" s="5">
        <v>139.982</v>
      </c>
      <c r="G175" s="3" t="s">
        <v>39</v>
      </c>
      <c r="H175" s="3">
        <f t="shared" si="4"/>
        <v>1</v>
      </c>
      <c r="K175" s="3" t="str">
        <f t="shared" si="5"/>
        <v/>
      </c>
    </row>
    <row r="176" spans="1:11" x14ac:dyDescent="0.25">
      <c r="A176" s="3">
        <v>4</v>
      </c>
      <c r="B176" s="13">
        <v>46258.426053240699</v>
      </c>
      <c r="C176" s="3" t="s">
        <v>35</v>
      </c>
      <c r="D176" s="5">
        <v>0.89100000000000001</v>
      </c>
      <c r="E176" s="3" t="s">
        <v>14</v>
      </c>
      <c r="F176" s="5">
        <v>100.583</v>
      </c>
      <c r="G176" s="3" t="s">
        <v>35</v>
      </c>
      <c r="H176" s="3">
        <f t="shared" si="4"/>
        <v>1</v>
      </c>
      <c r="K176" s="3" t="str">
        <f t="shared" si="5"/>
        <v/>
      </c>
    </row>
    <row r="177" spans="1:11" x14ac:dyDescent="0.25">
      <c r="A177" s="3">
        <v>4</v>
      </c>
      <c r="B177" s="13">
        <v>46258.426226851901</v>
      </c>
      <c r="C177" s="3" t="s">
        <v>27</v>
      </c>
      <c r="D177" s="5">
        <v>0.89800000000000002</v>
      </c>
      <c r="E177" s="3" t="s">
        <v>12</v>
      </c>
      <c r="F177" s="5">
        <v>171.84100000000001</v>
      </c>
      <c r="G177" s="3" t="s">
        <v>27</v>
      </c>
      <c r="H177" s="3">
        <f t="shared" si="4"/>
        <v>1</v>
      </c>
      <c r="K177" s="3" t="str">
        <f t="shared" si="5"/>
        <v/>
      </c>
    </row>
    <row r="178" spans="1:11" x14ac:dyDescent="0.25">
      <c r="A178" s="3">
        <v>4</v>
      </c>
      <c r="B178" s="13">
        <v>46258.426423611098</v>
      </c>
      <c r="C178" s="3" t="s">
        <v>26</v>
      </c>
      <c r="D178" s="5">
        <v>0.93300000000000005</v>
      </c>
      <c r="E178" s="3" t="s">
        <v>14</v>
      </c>
      <c r="F178" s="5">
        <v>112.697</v>
      </c>
      <c r="G178" s="3" t="s">
        <v>26</v>
      </c>
      <c r="H178" s="3">
        <f t="shared" si="4"/>
        <v>1</v>
      </c>
      <c r="I178" s="3">
        <v>1</v>
      </c>
      <c r="J178" s="3" t="s">
        <v>26</v>
      </c>
      <c r="K178" s="3">
        <f t="shared" si="5"/>
        <v>1</v>
      </c>
    </row>
    <row r="179" spans="1:11" x14ac:dyDescent="0.25">
      <c r="A179" s="3">
        <v>4</v>
      </c>
      <c r="B179" s="13">
        <v>46258.426562499997</v>
      </c>
      <c r="C179" s="3" t="s">
        <v>22</v>
      </c>
      <c r="D179" s="5">
        <v>0.73899999999999999</v>
      </c>
      <c r="E179" s="3" t="s">
        <v>14</v>
      </c>
      <c r="F179" s="5">
        <v>98.367000000000004</v>
      </c>
      <c r="G179" s="3" t="s">
        <v>28</v>
      </c>
      <c r="H179" s="3">
        <f t="shared" si="4"/>
        <v>0</v>
      </c>
      <c r="K179" s="3" t="str">
        <f t="shared" si="5"/>
        <v/>
      </c>
    </row>
    <row r="180" spans="1:11" x14ac:dyDescent="0.25">
      <c r="A180" s="3">
        <v>4</v>
      </c>
      <c r="B180" s="13">
        <v>46258.426747685196</v>
      </c>
      <c r="C180" s="3" t="s">
        <v>15</v>
      </c>
      <c r="D180" s="5">
        <v>0.85099999999999998</v>
      </c>
      <c r="E180" s="3" t="s">
        <v>14</v>
      </c>
      <c r="F180" s="5">
        <v>152.518</v>
      </c>
      <c r="G180" s="3" t="s">
        <v>15</v>
      </c>
      <c r="H180" s="3">
        <f t="shared" si="4"/>
        <v>1</v>
      </c>
      <c r="K180" s="3" t="str">
        <f t="shared" si="5"/>
        <v/>
      </c>
    </row>
    <row r="181" spans="1:11" x14ac:dyDescent="0.25">
      <c r="A181" s="3">
        <v>4</v>
      </c>
      <c r="B181" s="13">
        <v>46258.426898148202</v>
      </c>
      <c r="C181" s="3" t="s">
        <v>32</v>
      </c>
      <c r="D181" s="5">
        <v>0.89500000000000002</v>
      </c>
      <c r="E181" s="3" t="s">
        <v>14</v>
      </c>
      <c r="F181" s="5">
        <v>116.384</v>
      </c>
      <c r="G181" s="3" t="s">
        <v>32</v>
      </c>
      <c r="H181" s="3">
        <f t="shared" si="4"/>
        <v>1</v>
      </c>
      <c r="K181" s="3" t="str">
        <f t="shared" si="5"/>
        <v/>
      </c>
    </row>
    <row r="182" spans="1:11" x14ac:dyDescent="0.25">
      <c r="A182" s="3">
        <v>4</v>
      </c>
      <c r="B182" s="13">
        <v>46258.427094907398</v>
      </c>
      <c r="C182" s="3" t="s">
        <v>21</v>
      </c>
      <c r="D182" s="5">
        <v>0.93400000000000005</v>
      </c>
      <c r="E182" s="3" t="s">
        <v>14</v>
      </c>
      <c r="F182" s="5">
        <v>109.62</v>
      </c>
      <c r="G182" s="3" t="s">
        <v>21</v>
      </c>
      <c r="H182" s="3">
        <f t="shared" si="4"/>
        <v>1</v>
      </c>
      <c r="K182" s="3" t="str">
        <f t="shared" si="5"/>
        <v/>
      </c>
    </row>
    <row r="183" spans="1:11" x14ac:dyDescent="0.25">
      <c r="A183" s="3">
        <v>4</v>
      </c>
      <c r="B183" s="13">
        <v>46258.427430555603</v>
      </c>
      <c r="C183" s="3" t="s">
        <v>17</v>
      </c>
      <c r="D183" s="5">
        <v>0.91600000000000004</v>
      </c>
      <c r="E183" s="3" t="s">
        <v>14</v>
      </c>
      <c r="F183" s="5">
        <v>109.46</v>
      </c>
      <c r="G183" s="3" t="s">
        <v>17</v>
      </c>
      <c r="H183" s="3">
        <f t="shared" si="4"/>
        <v>1</v>
      </c>
      <c r="I183" s="3">
        <v>1</v>
      </c>
      <c r="J183" s="3" t="s">
        <v>17</v>
      </c>
      <c r="K183" s="3">
        <f t="shared" si="5"/>
        <v>1</v>
      </c>
    </row>
    <row r="184" spans="1:11" x14ac:dyDescent="0.25">
      <c r="A184" s="3">
        <v>4</v>
      </c>
      <c r="B184" s="13">
        <v>46258.427685185197</v>
      </c>
      <c r="C184" s="3" t="s">
        <v>18</v>
      </c>
      <c r="D184" s="5">
        <v>0.92700000000000005</v>
      </c>
      <c r="E184" s="3" t="s">
        <v>14</v>
      </c>
      <c r="F184" s="5">
        <v>132.49100000000001</v>
      </c>
      <c r="G184" s="3" t="s">
        <v>18</v>
      </c>
      <c r="H184" s="3">
        <f t="shared" si="4"/>
        <v>1</v>
      </c>
      <c r="I184" s="3">
        <v>1</v>
      </c>
      <c r="J184" s="3" t="s">
        <v>18</v>
      </c>
      <c r="K184" s="3">
        <f t="shared" si="5"/>
        <v>1</v>
      </c>
    </row>
    <row r="185" spans="1:11" x14ac:dyDescent="0.25">
      <c r="A185" s="3">
        <v>4</v>
      </c>
      <c r="B185" s="13">
        <v>46258.427916666697</v>
      </c>
      <c r="C185" s="3" t="s">
        <v>37</v>
      </c>
      <c r="D185" s="5">
        <v>0.94699999999999995</v>
      </c>
      <c r="E185" s="3" t="s">
        <v>14</v>
      </c>
      <c r="F185" s="5">
        <v>90.337000000000003</v>
      </c>
      <c r="G185" s="3" t="s">
        <v>37</v>
      </c>
      <c r="H185" s="3">
        <f t="shared" si="4"/>
        <v>1</v>
      </c>
      <c r="I185" s="3">
        <v>1</v>
      </c>
      <c r="J185" s="3" t="s">
        <v>37</v>
      </c>
      <c r="K185" s="3">
        <f t="shared" si="5"/>
        <v>1</v>
      </c>
    </row>
    <row r="186" spans="1:11" x14ac:dyDescent="0.25">
      <c r="A186" s="3">
        <v>4</v>
      </c>
      <c r="B186" s="13">
        <v>46258.4282060185</v>
      </c>
      <c r="C186" s="3" t="s">
        <v>31</v>
      </c>
      <c r="D186" s="5">
        <v>0.84</v>
      </c>
      <c r="E186" s="3" t="s">
        <v>14</v>
      </c>
      <c r="F186" s="5">
        <v>90.849000000000004</v>
      </c>
      <c r="G186" s="3" t="s">
        <v>31</v>
      </c>
      <c r="H186" s="3">
        <f t="shared" si="4"/>
        <v>1</v>
      </c>
      <c r="K186" s="3" t="str">
        <f t="shared" si="5"/>
        <v/>
      </c>
    </row>
    <row r="187" spans="1:11" x14ac:dyDescent="0.25">
      <c r="A187" s="3">
        <v>4</v>
      </c>
      <c r="B187" s="13">
        <v>46258.428449074097</v>
      </c>
      <c r="C187" s="3" t="s">
        <v>30</v>
      </c>
      <c r="D187" s="5">
        <v>0.72</v>
      </c>
      <c r="E187" s="3" t="s">
        <v>14</v>
      </c>
      <c r="F187" s="5">
        <v>105.602</v>
      </c>
      <c r="G187" s="3" t="s">
        <v>21</v>
      </c>
      <c r="H187" s="3">
        <f t="shared" si="4"/>
        <v>0</v>
      </c>
      <c r="I187" s="3">
        <v>1</v>
      </c>
      <c r="J187" s="3" t="s">
        <v>30</v>
      </c>
      <c r="K187" s="3">
        <f t="shared" si="5"/>
        <v>0</v>
      </c>
    </row>
    <row r="188" spans="1:11" x14ac:dyDescent="0.25">
      <c r="A188" s="3">
        <v>4</v>
      </c>
      <c r="B188" s="13">
        <v>46258.428703703699</v>
      </c>
      <c r="C188" s="3" t="s">
        <v>11</v>
      </c>
      <c r="D188" s="5">
        <v>0.95199999999999996</v>
      </c>
      <c r="E188" s="3" t="s">
        <v>12</v>
      </c>
      <c r="F188" s="5">
        <v>134.39400000000001</v>
      </c>
      <c r="G188" s="3" t="s">
        <v>11</v>
      </c>
      <c r="H188" s="3">
        <f t="shared" si="4"/>
        <v>1</v>
      </c>
      <c r="I188" s="3">
        <v>1</v>
      </c>
      <c r="J188" s="3" t="s">
        <v>11</v>
      </c>
      <c r="K188" s="3">
        <f t="shared" si="5"/>
        <v>1</v>
      </c>
    </row>
    <row r="189" spans="1:11" x14ac:dyDescent="0.25">
      <c r="A189" s="3">
        <v>4</v>
      </c>
      <c r="B189" s="13">
        <v>46258.4288310185</v>
      </c>
      <c r="C189" s="3" t="s">
        <v>27</v>
      </c>
      <c r="D189" s="5">
        <v>0.90100000000000002</v>
      </c>
      <c r="E189" s="3" t="s">
        <v>12</v>
      </c>
      <c r="F189" s="5">
        <v>136.80600000000001</v>
      </c>
      <c r="G189" s="3" t="s">
        <v>27</v>
      </c>
      <c r="H189" s="3">
        <f t="shared" si="4"/>
        <v>1</v>
      </c>
      <c r="I189" s="3">
        <v>1</v>
      </c>
      <c r="J189" s="3" t="s">
        <v>27</v>
      </c>
      <c r="K189" s="3">
        <f t="shared" si="5"/>
        <v>1</v>
      </c>
    </row>
    <row r="190" spans="1:11" x14ac:dyDescent="0.25">
      <c r="A190" s="3">
        <v>4</v>
      </c>
      <c r="B190" s="13">
        <v>46258.429062499999</v>
      </c>
      <c r="C190" s="3" t="s">
        <v>35</v>
      </c>
      <c r="D190" s="5">
        <v>0.95699999999999996</v>
      </c>
      <c r="E190" s="3" t="s">
        <v>14</v>
      </c>
      <c r="F190" s="5">
        <v>108.1</v>
      </c>
      <c r="G190" s="3" t="s">
        <v>35</v>
      </c>
      <c r="H190" s="3">
        <f t="shared" si="4"/>
        <v>1</v>
      </c>
      <c r="K190" s="3" t="str">
        <f t="shared" si="5"/>
        <v/>
      </c>
    </row>
    <row r="191" spans="1:11" x14ac:dyDescent="0.25">
      <c r="A191" s="3">
        <v>4</v>
      </c>
      <c r="B191" s="13">
        <v>46258.429259259297</v>
      </c>
      <c r="C191" s="3" t="s">
        <v>23</v>
      </c>
      <c r="D191" s="5">
        <v>0.89800000000000002</v>
      </c>
      <c r="E191" s="3" t="s">
        <v>14</v>
      </c>
      <c r="F191" s="5">
        <v>132.74</v>
      </c>
      <c r="G191" s="3" t="s">
        <v>23</v>
      </c>
      <c r="H191" s="3">
        <f t="shared" si="4"/>
        <v>1</v>
      </c>
      <c r="I191" s="3">
        <v>1</v>
      </c>
      <c r="J191" s="3" t="s">
        <v>23</v>
      </c>
      <c r="K191" s="3">
        <f t="shared" si="5"/>
        <v>1</v>
      </c>
    </row>
    <row r="192" spans="1:11" x14ac:dyDescent="0.25">
      <c r="A192" s="3">
        <v>5</v>
      </c>
      <c r="B192" s="13">
        <v>46258.438206018502</v>
      </c>
      <c r="C192" s="3" t="s">
        <v>32</v>
      </c>
      <c r="D192" s="5">
        <v>0.81100000000000005</v>
      </c>
      <c r="E192" s="3" t="s">
        <v>14</v>
      </c>
      <c r="F192" s="5">
        <v>85</v>
      </c>
      <c r="G192" s="3" t="s">
        <v>13</v>
      </c>
      <c r="H192" s="3">
        <f t="shared" si="4"/>
        <v>0</v>
      </c>
      <c r="K192" s="3" t="str">
        <f t="shared" si="5"/>
        <v/>
      </c>
    </row>
    <row r="193" spans="1:11" x14ac:dyDescent="0.25">
      <c r="A193" s="3">
        <v>5</v>
      </c>
      <c r="B193" s="13">
        <v>46258.438460648198</v>
      </c>
      <c r="C193" s="3" t="s">
        <v>23</v>
      </c>
      <c r="D193" s="5">
        <v>0.89900000000000002</v>
      </c>
      <c r="E193" s="3" t="s">
        <v>14</v>
      </c>
      <c r="F193" s="5">
        <v>116.256</v>
      </c>
      <c r="G193" s="3" t="s">
        <v>23</v>
      </c>
      <c r="H193" s="3">
        <f t="shared" si="4"/>
        <v>1</v>
      </c>
      <c r="I193" s="3">
        <v>1</v>
      </c>
      <c r="J193" s="3" t="s">
        <v>23</v>
      </c>
      <c r="K193" s="3">
        <f t="shared" si="5"/>
        <v>1</v>
      </c>
    </row>
    <row r="194" spans="1:11" x14ac:dyDescent="0.25">
      <c r="A194" s="3">
        <v>5</v>
      </c>
      <c r="B194" s="13">
        <v>46258.438564814802</v>
      </c>
      <c r="C194" s="3" t="s">
        <v>29</v>
      </c>
      <c r="D194" s="5">
        <v>0.93600000000000005</v>
      </c>
      <c r="E194" s="3" t="s">
        <v>14</v>
      </c>
      <c r="F194" s="5">
        <v>114.63</v>
      </c>
      <c r="G194" s="3" t="s">
        <v>29</v>
      </c>
      <c r="H194" s="3">
        <f t="shared" ref="H194:H257" si="6">IF(C194=G194,1,0)</f>
        <v>1</v>
      </c>
      <c r="I194" s="3">
        <v>1</v>
      </c>
      <c r="J194" s="3" t="s">
        <v>29</v>
      </c>
      <c r="K194" s="3">
        <f t="shared" ref="K194:K257" si="7">IF(J194="","",IF(J194=G194,1,0))</f>
        <v>1</v>
      </c>
    </row>
    <row r="195" spans="1:11" x14ac:dyDescent="0.25">
      <c r="A195" s="3">
        <v>5</v>
      </c>
      <c r="B195" s="13">
        <v>46258.438877314802</v>
      </c>
      <c r="C195" s="3" t="s">
        <v>18</v>
      </c>
      <c r="D195" s="5">
        <v>0.89500000000000002</v>
      </c>
      <c r="E195" s="3" t="s">
        <v>14</v>
      </c>
      <c r="F195" s="5">
        <v>98.192999999999998</v>
      </c>
      <c r="G195" s="3" t="s">
        <v>18</v>
      </c>
      <c r="H195" s="3">
        <f t="shared" si="6"/>
        <v>1</v>
      </c>
      <c r="I195" s="3">
        <v>1</v>
      </c>
      <c r="J195" s="3" t="s">
        <v>18</v>
      </c>
      <c r="K195" s="3">
        <f t="shared" si="7"/>
        <v>1</v>
      </c>
    </row>
    <row r="196" spans="1:11" x14ac:dyDescent="0.25">
      <c r="A196" s="3">
        <v>5</v>
      </c>
      <c r="B196" s="13">
        <v>46258.439039351899</v>
      </c>
      <c r="C196" s="3" t="s">
        <v>37</v>
      </c>
      <c r="D196" s="5">
        <v>0.83</v>
      </c>
      <c r="E196" s="3" t="s">
        <v>14</v>
      </c>
      <c r="F196" s="5">
        <v>130.5</v>
      </c>
      <c r="G196" s="3" t="s">
        <v>37</v>
      </c>
      <c r="H196" s="3">
        <f t="shared" si="6"/>
        <v>1</v>
      </c>
      <c r="K196" s="3" t="str">
        <f t="shared" si="7"/>
        <v/>
      </c>
    </row>
    <row r="197" spans="1:11" x14ac:dyDescent="0.25">
      <c r="A197" s="3">
        <v>5</v>
      </c>
      <c r="B197" s="13">
        <v>46258.439270833303</v>
      </c>
      <c r="C197" s="3" t="s">
        <v>30</v>
      </c>
      <c r="D197" s="5">
        <v>0.81699999999999995</v>
      </c>
      <c r="E197" s="3" t="s">
        <v>14</v>
      </c>
      <c r="F197" s="5">
        <v>96.873999999999995</v>
      </c>
      <c r="G197" s="3" t="s">
        <v>30</v>
      </c>
      <c r="H197" s="3">
        <f t="shared" si="6"/>
        <v>1</v>
      </c>
      <c r="I197" s="3">
        <v>1</v>
      </c>
      <c r="J197" s="3" t="s">
        <v>30</v>
      </c>
      <c r="K197" s="3">
        <f t="shared" si="7"/>
        <v>1</v>
      </c>
    </row>
    <row r="198" spans="1:11" x14ac:dyDescent="0.25">
      <c r="A198" s="3">
        <v>5</v>
      </c>
      <c r="B198" s="13">
        <v>46258.4393865741</v>
      </c>
      <c r="C198" s="3" t="s">
        <v>16</v>
      </c>
      <c r="D198" s="5">
        <v>0.83399999999999996</v>
      </c>
      <c r="E198" s="3" t="s">
        <v>14</v>
      </c>
      <c r="F198" s="5">
        <v>140.78200000000001</v>
      </c>
      <c r="G198" s="3" t="s">
        <v>16</v>
      </c>
      <c r="H198" s="3">
        <f t="shared" si="6"/>
        <v>1</v>
      </c>
      <c r="K198" s="3" t="str">
        <f t="shared" si="7"/>
        <v/>
      </c>
    </row>
    <row r="199" spans="1:11" x14ac:dyDescent="0.25">
      <c r="A199" s="3">
        <v>5</v>
      </c>
      <c r="B199" s="13">
        <v>46258.439502314803</v>
      </c>
      <c r="C199" s="3" t="s">
        <v>19</v>
      </c>
      <c r="D199" s="5">
        <v>0.90100000000000002</v>
      </c>
      <c r="E199" s="3" t="s">
        <v>14</v>
      </c>
      <c r="F199" s="5">
        <v>137.49600000000001</v>
      </c>
      <c r="G199" s="3" t="s">
        <v>19</v>
      </c>
      <c r="H199" s="3">
        <f t="shared" si="6"/>
        <v>1</v>
      </c>
      <c r="K199" s="3" t="str">
        <f t="shared" si="7"/>
        <v/>
      </c>
    </row>
    <row r="200" spans="1:11" x14ac:dyDescent="0.25">
      <c r="A200" s="3">
        <v>5</v>
      </c>
      <c r="B200" s="13">
        <v>46258.439664351899</v>
      </c>
      <c r="C200" s="3" t="s">
        <v>27</v>
      </c>
      <c r="D200" s="5">
        <v>0.99</v>
      </c>
      <c r="E200" s="3" t="s">
        <v>12</v>
      </c>
      <c r="F200" s="5">
        <v>147.88999999999999</v>
      </c>
      <c r="G200" s="3" t="s">
        <v>27</v>
      </c>
      <c r="H200" s="3">
        <f t="shared" si="6"/>
        <v>1</v>
      </c>
      <c r="I200" s="3">
        <v>1</v>
      </c>
      <c r="J200" s="3" t="s">
        <v>27</v>
      </c>
      <c r="K200" s="3">
        <f t="shared" si="7"/>
        <v>1</v>
      </c>
    </row>
    <row r="201" spans="1:11" x14ac:dyDescent="0.25">
      <c r="A201" s="3">
        <v>5</v>
      </c>
      <c r="B201" s="13">
        <v>46258.439826388902</v>
      </c>
      <c r="C201" s="3" t="s">
        <v>36</v>
      </c>
      <c r="D201" s="5">
        <v>0.88200000000000001</v>
      </c>
      <c r="E201" s="3" t="s">
        <v>14</v>
      </c>
      <c r="F201" s="5">
        <v>109.565</v>
      </c>
      <c r="G201" s="3" t="s">
        <v>36</v>
      </c>
      <c r="H201" s="3">
        <f t="shared" si="6"/>
        <v>1</v>
      </c>
      <c r="K201" s="3" t="str">
        <f t="shared" si="7"/>
        <v/>
      </c>
    </row>
    <row r="202" spans="1:11" x14ac:dyDescent="0.25">
      <c r="A202" s="3">
        <v>5</v>
      </c>
      <c r="B202" s="13">
        <v>46258.440034722204</v>
      </c>
      <c r="C202" s="3" t="s">
        <v>11</v>
      </c>
      <c r="D202" s="5">
        <v>0.91700000000000004</v>
      </c>
      <c r="E202" s="3" t="s">
        <v>12</v>
      </c>
      <c r="F202" s="5">
        <v>140.84700000000001</v>
      </c>
      <c r="G202" s="3" t="s">
        <v>11</v>
      </c>
      <c r="H202" s="3">
        <f t="shared" si="6"/>
        <v>1</v>
      </c>
      <c r="I202" s="3">
        <v>1</v>
      </c>
      <c r="J202" s="3" t="s">
        <v>11</v>
      </c>
      <c r="K202" s="3">
        <f t="shared" si="7"/>
        <v>1</v>
      </c>
    </row>
    <row r="203" spans="1:11" x14ac:dyDescent="0.25">
      <c r="A203" s="3">
        <v>5</v>
      </c>
      <c r="B203" s="13">
        <v>46258.440231481502</v>
      </c>
      <c r="C203" s="3" t="s">
        <v>11</v>
      </c>
      <c r="D203" s="5">
        <v>0.77500000000000002</v>
      </c>
      <c r="E203" s="3" t="s">
        <v>12</v>
      </c>
      <c r="F203" s="5">
        <v>163.68100000000001</v>
      </c>
      <c r="G203" s="3" t="s">
        <v>39</v>
      </c>
      <c r="H203" s="3">
        <f t="shared" si="6"/>
        <v>0</v>
      </c>
      <c r="K203" s="3" t="str">
        <f t="shared" si="7"/>
        <v/>
      </c>
    </row>
    <row r="204" spans="1:11" x14ac:dyDescent="0.25">
      <c r="A204" s="3">
        <v>5</v>
      </c>
      <c r="B204" s="13">
        <v>46258.440416666701</v>
      </c>
      <c r="C204" s="3" t="s">
        <v>31</v>
      </c>
      <c r="D204" s="5">
        <v>0.89300000000000002</v>
      </c>
      <c r="E204" s="3" t="s">
        <v>14</v>
      </c>
      <c r="F204" s="5">
        <v>115.223</v>
      </c>
      <c r="G204" s="3" t="s">
        <v>31</v>
      </c>
      <c r="H204" s="3">
        <f t="shared" si="6"/>
        <v>1</v>
      </c>
      <c r="K204" s="3" t="str">
        <f t="shared" si="7"/>
        <v/>
      </c>
    </row>
    <row r="205" spans="1:11" x14ac:dyDescent="0.25">
      <c r="A205" s="3">
        <v>5</v>
      </c>
      <c r="B205" s="13">
        <v>46258.440543981502</v>
      </c>
      <c r="C205" s="3" t="s">
        <v>24</v>
      </c>
      <c r="D205" s="5">
        <v>0.84099999999999997</v>
      </c>
      <c r="E205" s="3" t="s">
        <v>14</v>
      </c>
      <c r="F205" s="5">
        <v>129.965</v>
      </c>
      <c r="G205" s="3" t="s">
        <v>24</v>
      </c>
      <c r="H205" s="3">
        <f t="shared" si="6"/>
        <v>1</v>
      </c>
      <c r="K205" s="3" t="str">
        <f t="shared" si="7"/>
        <v/>
      </c>
    </row>
    <row r="206" spans="1:11" x14ac:dyDescent="0.25">
      <c r="A206" s="3">
        <v>5</v>
      </c>
      <c r="B206" s="13">
        <v>46258.440694444398</v>
      </c>
      <c r="C206" s="3" t="s">
        <v>33</v>
      </c>
      <c r="D206" s="5">
        <v>0.85799999999999998</v>
      </c>
      <c r="E206" s="3" t="s">
        <v>14</v>
      </c>
      <c r="F206" s="5">
        <v>131.47200000000001</v>
      </c>
      <c r="G206" s="3" t="s">
        <v>33</v>
      </c>
      <c r="H206" s="3">
        <f t="shared" si="6"/>
        <v>1</v>
      </c>
      <c r="K206" s="3" t="str">
        <f t="shared" si="7"/>
        <v/>
      </c>
    </row>
    <row r="207" spans="1:11" x14ac:dyDescent="0.25">
      <c r="A207" s="3">
        <v>5</v>
      </c>
      <c r="B207" s="13">
        <v>46258.440902777802</v>
      </c>
      <c r="C207" s="3" t="s">
        <v>21</v>
      </c>
      <c r="D207" s="5">
        <v>0.82799999999999996</v>
      </c>
      <c r="E207" s="3" t="s">
        <v>14</v>
      </c>
      <c r="F207" s="5">
        <v>107.93300000000001</v>
      </c>
      <c r="G207" s="3" t="s">
        <v>21</v>
      </c>
      <c r="H207" s="3">
        <f t="shared" si="6"/>
        <v>1</v>
      </c>
      <c r="I207" s="3">
        <v>1</v>
      </c>
      <c r="J207" s="3" t="s">
        <v>21</v>
      </c>
      <c r="K207" s="3">
        <f t="shared" si="7"/>
        <v>1</v>
      </c>
    </row>
    <row r="208" spans="1:11" x14ac:dyDescent="0.25">
      <c r="A208" s="3">
        <v>5</v>
      </c>
      <c r="B208" s="13">
        <v>46258.441145833298</v>
      </c>
      <c r="C208" s="3" t="s">
        <v>17</v>
      </c>
      <c r="D208" s="5">
        <v>0.89600000000000002</v>
      </c>
      <c r="E208" s="3" t="s">
        <v>14</v>
      </c>
      <c r="F208" s="5">
        <v>123.124</v>
      </c>
      <c r="G208" s="3" t="s">
        <v>17</v>
      </c>
      <c r="H208" s="3">
        <f t="shared" si="6"/>
        <v>1</v>
      </c>
      <c r="K208" s="3" t="str">
        <f t="shared" si="7"/>
        <v/>
      </c>
    </row>
    <row r="209" spans="1:11" x14ac:dyDescent="0.25">
      <c r="A209" s="3">
        <v>5</v>
      </c>
      <c r="B209" s="13">
        <v>46258.441250000003</v>
      </c>
      <c r="C209" s="3" t="s">
        <v>15</v>
      </c>
      <c r="D209" s="5">
        <v>0.88100000000000001</v>
      </c>
      <c r="E209" s="3" t="s">
        <v>14</v>
      </c>
      <c r="F209" s="5">
        <v>135.715</v>
      </c>
      <c r="G209" s="3" t="s">
        <v>15</v>
      </c>
      <c r="H209" s="3">
        <f t="shared" si="6"/>
        <v>1</v>
      </c>
      <c r="K209" s="3" t="str">
        <f t="shared" si="7"/>
        <v/>
      </c>
    </row>
    <row r="210" spans="1:11" x14ac:dyDescent="0.25">
      <c r="A210" s="3">
        <v>5</v>
      </c>
      <c r="B210" s="13">
        <v>46258.441388888903</v>
      </c>
      <c r="C210" s="3" t="s">
        <v>32</v>
      </c>
      <c r="D210" s="5">
        <v>0.872</v>
      </c>
      <c r="E210" s="3" t="s">
        <v>14</v>
      </c>
      <c r="F210" s="5">
        <v>115.601</v>
      </c>
      <c r="G210" s="3" t="s">
        <v>32</v>
      </c>
      <c r="H210" s="3">
        <f t="shared" si="6"/>
        <v>1</v>
      </c>
      <c r="K210" s="3" t="str">
        <f t="shared" si="7"/>
        <v/>
      </c>
    </row>
    <row r="211" spans="1:11" x14ac:dyDescent="0.25">
      <c r="A211" s="3">
        <v>5</v>
      </c>
      <c r="B211" s="13">
        <v>46258.441655092603</v>
      </c>
      <c r="C211" s="3" t="s">
        <v>20</v>
      </c>
      <c r="D211" s="5">
        <v>0.90100000000000002</v>
      </c>
      <c r="E211" s="3" t="s">
        <v>12</v>
      </c>
      <c r="F211" s="5">
        <v>103.26</v>
      </c>
      <c r="G211" s="3" t="s">
        <v>20</v>
      </c>
      <c r="H211" s="3">
        <f t="shared" si="6"/>
        <v>1</v>
      </c>
      <c r="K211" s="3" t="str">
        <f t="shared" si="7"/>
        <v/>
      </c>
    </row>
    <row r="212" spans="1:11" x14ac:dyDescent="0.25">
      <c r="A212" s="3">
        <v>5</v>
      </c>
      <c r="B212" s="13">
        <v>46258.441840277803</v>
      </c>
      <c r="C212" s="3" t="s">
        <v>26</v>
      </c>
      <c r="D212" s="5">
        <v>0.90200000000000002</v>
      </c>
      <c r="E212" s="3" t="s">
        <v>14</v>
      </c>
      <c r="F212" s="5">
        <v>88.796999999999997</v>
      </c>
      <c r="G212" s="3" t="s">
        <v>26</v>
      </c>
      <c r="H212" s="3">
        <f t="shared" si="6"/>
        <v>1</v>
      </c>
      <c r="K212" s="3" t="str">
        <f t="shared" si="7"/>
        <v/>
      </c>
    </row>
    <row r="213" spans="1:11" x14ac:dyDescent="0.25">
      <c r="A213" s="3">
        <v>5</v>
      </c>
      <c r="B213" s="13">
        <v>46258.441944444399</v>
      </c>
      <c r="C213" s="3" t="s">
        <v>25</v>
      </c>
      <c r="D213" s="5">
        <v>0.90400000000000003</v>
      </c>
      <c r="E213" s="3" t="s">
        <v>14</v>
      </c>
      <c r="F213" s="5">
        <v>150.23599999999999</v>
      </c>
      <c r="G213" s="3" t="s">
        <v>25</v>
      </c>
      <c r="H213" s="3">
        <f t="shared" si="6"/>
        <v>1</v>
      </c>
      <c r="I213" s="3">
        <v>1</v>
      </c>
      <c r="J213" s="3" t="s">
        <v>25</v>
      </c>
      <c r="K213" s="3">
        <f t="shared" si="7"/>
        <v>1</v>
      </c>
    </row>
    <row r="214" spans="1:11" x14ac:dyDescent="0.25">
      <c r="A214" s="3">
        <v>5</v>
      </c>
      <c r="B214" s="13">
        <v>46258.442071759302</v>
      </c>
      <c r="C214" s="3" t="s">
        <v>34</v>
      </c>
      <c r="D214" s="5">
        <v>0.71699999999999997</v>
      </c>
      <c r="E214" s="3" t="s">
        <v>14</v>
      </c>
      <c r="F214" s="5">
        <v>141.69200000000001</v>
      </c>
      <c r="G214" s="3" t="s">
        <v>38</v>
      </c>
      <c r="H214" s="3">
        <f t="shared" si="6"/>
        <v>0</v>
      </c>
      <c r="K214" s="3" t="str">
        <f t="shared" si="7"/>
        <v/>
      </c>
    </row>
    <row r="215" spans="1:11" x14ac:dyDescent="0.25">
      <c r="A215" s="3">
        <v>5</v>
      </c>
      <c r="B215" s="13">
        <v>46258.442222222198</v>
      </c>
      <c r="C215" s="3" t="s">
        <v>30</v>
      </c>
      <c r="D215" s="5">
        <v>0.83399999999999996</v>
      </c>
      <c r="E215" s="3" t="s">
        <v>14</v>
      </c>
      <c r="F215" s="5">
        <v>109.44</v>
      </c>
      <c r="G215" s="3" t="s">
        <v>30</v>
      </c>
      <c r="H215" s="3">
        <f t="shared" si="6"/>
        <v>1</v>
      </c>
      <c r="I215" s="3">
        <v>1</v>
      </c>
      <c r="J215" s="3" t="s">
        <v>30</v>
      </c>
      <c r="K215" s="3">
        <f t="shared" si="7"/>
        <v>1</v>
      </c>
    </row>
    <row r="216" spans="1:11" x14ac:dyDescent="0.25">
      <c r="A216" s="3">
        <v>5</v>
      </c>
      <c r="B216" s="13">
        <v>46258.442384259302</v>
      </c>
      <c r="C216" s="3" t="s">
        <v>27</v>
      </c>
      <c r="D216" s="5">
        <v>0.92</v>
      </c>
      <c r="E216" s="3" t="s">
        <v>12</v>
      </c>
      <c r="F216" s="5">
        <v>134.83600000000001</v>
      </c>
      <c r="G216" s="3" t="s">
        <v>27</v>
      </c>
      <c r="H216" s="3">
        <f t="shared" si="6"/>
        <v>1</v>
      </c>
      <c r="I216" s="3">
        <v>1</v>
      </c>
      <c r="J216" s="3" t="s">
        <v>27</v>
      </c>
      <c r="K216" s="3">
        <f t="shared" si="7"/>
        <v>1</v>
      </c>
    </row>
    <row r="217" spans="1:11" x14ac:dyDescent="0.25">
      <c r="A217" s="3">
        <v>5</v>
      </c>
      <c r="B217" s="13">
        <v>46258.442650463003</v>
      </c>
      <c r="C217" s="3" t="s">
        <v>32</v>
      </c>
      <c r="D217" s="5">
        <v>0.93700000000000006</v>
      </c>
      <c r="E217" s="3" t="s">
        <v>14</v>
      </c>
      <c r="F217" s="5">
        <v>126.37</v>
      </c>
      <c r="G217" s="3" t="s">
        <v>32</v>
      </c>
      <c r="H217" s="3">
        <f t="shared" si="6"/>
        <v>1</v>
      </c>
      <c r="K217" s="3" t="str">
        <f t="shared" si="7"/>
        <v/>
      </c>
    </row>
    <row r="218" spans="1:11" x14ac:dyDescent="0.25">
      <c r="A218" s="3">
        <v>5</v>
      </c>
      <c r="B218" s="13">
        <v>46258.442893518499</v>
      </c>
      <c r="C218" s="3" t="s">
        <v>37</v>
      </c>
      <c r="D218" s="5">
        <v>0.96</v>
      </c>
      <c r="E218" s="3" t="s">
        <v>14</v>
      </c>
      <c r="F218" s="5">
        <v>113.17700000000001</v>
      </c>
      <c r="G218" s="3" t="s">
        <v>37</v>
      </c>
      <c r="H218" s="3">
        <f t="shared" si="6"/>
        <v>1</v>
      </c>
      <c r="K218" s="3" t="str">
        <f t="shared" si="7"/>
        <v/>
      </c>
    </row>
    <row r="219" spans="1:11" x14ac:dyDescent="0.25">
      <c r="A219" s="3">
        <v>5</v>
      </c>
      <c r="B219" s="13">
        <v>46258.4430208333</v>
      </c>
      <c r="C219" s="3" t="s">
        <v>29</v>
      </c>
      <c r="D219" s="5">
        <v>0.877</v>
      </c>
      <c r="E219" s="3" t="s">
        <v>14</v>
      </c>
      <c r="F219" s="5">
        <v>103.479</v>
      </c>
      <c r="G219" s="3" t="s">
        <v>29</v>
      </c>
      <c r="H219" s="3">
        <f t="shared" si="6"/>
        <v>1</v>
      </c>
      <c r="K219" s="3" t="str">
        <f t="shared" si="7"/>
        <v/>
      </c>
    </row>
    <row r="220" spans="1:11" x14ac:dyDescent="0.25">
      <c r="A220" s="3">
        <v>5</v>
      </c>
      <c r="B220" s="13">
        <v>46258.443263888897</v>
      </c>
      <c r="C220" s="3" t="s">
        <v>25</v>
      </c>
      <c r="D220" s="5">
        <v>0.82499999999999996</v>
      </c>
      <c r="E220" s="3" t="s">
        <v>14</v>
      </c>
      <c r="F220" s="5">
        <v>145.536</v>
      </c>
      <c r="G220" s="3" t="s">
        <v>25</v>
      </c>
      <c r="H220" s="3">
        <f t="shared" si="6"/>
        <v>1</v>
      </c>
      <c r="K220" s="3" t="str">
        <f t="shared" si="7"/>
        <v/>
      </c>
    </row>
    <row r="221" spans="1:11" x14ac:dyDescent="0.25">
      <c r="A221" s="3">
        <v>5</v>
      </c>
      <c r="B221" s="13">
        <v>46258.443356481497</v>
      </c>
      <c r="C221" s="3" t="s">
        <v>21</v>
      </c>
      <c r="D221" s="5">
        <v>0.80200000000000005</v>
      </c>
      <c r="E221" s="3" t="s">
        <v>14</v>
      </c>
      <c r="F221" s="5">
        <v>110.827</v>
      </c>
      <c r="G221" s="3" t="s">
        <v>30</v>
      </c>
      <c r="H221" s="3">
        <f t="shared" si="6"/>
        <v>0</v>
      </c>
      <c r="K221" s="3" t="str">
        <f t="shared" si="7"/>
        <v/>
      </c>
    </row>
    <row r="222" spans="1:11" x14ac:dyDescent="0.25">
      <c r="A222" s="3">
        <v>5</v>
      </c>
      <c r="B222" s="13">
        <v>46258.443587962996</v>
      </c>
      <c r="C222" s="3" t="s">
        <v>39</v>
      </c>
      <c r="D222" s="5">
        <v>0.86499999999999999</v>
      </c>
      <c r="E222" s="3" t="s">
        <v>14</v>
      </c>
      <c r="F222" s="5">
        <v>106.404</v>
      </c>
      <c r="G222" s="3" t="s">
        <v>39</v>
      </c>
      <c r="H222" s="3">
        <f t="shared" si="6"/>
        <v>1</v>
      </c>
      <c r="I222" s="3">
        <v>1</v>
      </c>
      <c r="J222" s="3" t="s">
        <v>39</v>
      </c>
      <c r="K222" s="3">
        <f t="shared" si="7"/>
        <v>1</v>
      </c>
    </row>
    <row r="223" spans="1:11" x14ac:dyDescent="0.25">
      <c r="A223" s="3">
        <v>5</v>
      </c>
      <c r="B223" s="13">
        <v>46258.443703703699</v>
      </c>
      <c r="C223" s="3" t="s">
        <v>38</v>
      </c>
      <c r="D223" s="5">
        <v>0.85599999999999998</v>
      </c>
      <c r="E223" s="3" t="s">
        <v>14</v>
      </c>
      <c r="F223" s="5">
        <v>85</v>
      </c>
      <c r="G223" s="3" t="s">
        <v>38</v>
      </c>
      <c r="H223" s="3">
        <f t="shared" si="6"/>
        <v>1</v>
      </c>
      <c r="K223" s="3" t="str">
        <f t="shared" si="7"/>
        <v/>
      </c>
    </row>
    <row r="224" spans="1:11" x14ac:dyDescent="0.25">
      <c r="A224" s="3">
        <v>5</v>
      </c>
      <c r="B224" s="13">
        <v>46258.443935185198</v>
      </c>
      <c r="C224" s="3" t="s">
        <v>23</v>
      </c>
      <c r="D224" s="5">
        <v>0.79600000000000004</v>
      </c>
      <c r="E224" s="3" t="s">
        <v>14</v>
      </c>
      <c r="F224" s="5">
        <v>140.76499999999999</v>
      </c>
      <c r="G224" s="3" t="s">
        <v>23</v>
      </c>
      <c r="H224" s="3">
        <f t="shared" si="6"/>
        <v>1</v>
      </c>
      <c r="I224" s="3">
        <v>1</v>
      </c>
      <c r="J224" s="3" t="s">
        <v>23</v>
      </c>
      <c r="K224" s="3">
        <f t="shared" si="7"/>
        <v>1</v>
      </c>
    </row>
    <row r="225" spans="1:11" x14ac:dyDescent="0.25">
      <c r="A225" s="3">
        <v>5</v>
      </c>
      <c r="B225" s="13">
        <v>46258.444074074097</v>
      </c>
      <c r="C225" s="3" t="s">
        <v>13</v>
      </c>
      <c r="D225" s="5">
        <v>0.66100000000000003</v>
      </c>
      <c r="E225" s="3" t="s">
        <v>14</v>
      </c>
      <c r="F225" s="5">
        <v>103.666</v>
      </c>
      <c r="G225" s="3" t="s">
        <v>32</v>
      </c>
      <c r="H225" s="3">
        <f t="shared" si="6"/>
        <v>0</v>
      </c>
      <c r="I225" s="3">
        <v>1</v>
      </c>
      <c r="J225" s="3" t="s">
        <v>13</v>
      </c>
      <c r="K225" s="3">
        <f t="shared" si="7"/>
        <v>0</v>
      </c>
    </row>
    <row r="226" spans="1:11" x14ac:dyDescent="0.25">
      <c r="A226" s="3">
        <v>5</v>
      </c>
      <c r="B226" s="13">
        <v>46258.444305555597</v>
      </c>
      <c r="C226" s="3" t="s">
        <v>31</v>
      </c>
      <c r="D226" s="5">
        <v>0.95599999999999996</v>
      </c>
      <c r="E226" s="3" t="s">
        <v>14</v>
      </c>
      <c r="F226" s="5">
        <v>146.09899999999999</v>
      </c>
      <c r="G226" s="3" t="s">
        <v>31</v>
      </c>
      <c r="H226" s="3">
        <f t="shared" si="6"/>
        <v>1</v>
      </c>
      <c r="K226" s="3" t="str">
        <f t="shared" si="7"/>
        <v/>
      </c>
    </row>
    <row r="227" spans="1:11" x14ac:dyDescent="0.25">
      <c r="A227" s="3">
        <v>5</v>
      </c>
      <c r="B227" s="13">
        <v>46258.444444444503</v>
      </c>
      <c r="C227" s="3" t="s">
        <v>33</v>
      </c>
      <c r="D227" s="5">
        <v>0.82099999999999995</v>
      </c>
      <c r="E227" s="3" t="s">
        <v>14</v>
      </c>
      <c r="F227" s="5">
        <v>116.38200000000001</v>
      </c>
      <c r="G227" s="3" t="s">
        <v>33</v>
      </c>
      <c r="H227" s="3">
        <f t="shared" si="6"/>
        <v>1</v>
      </c>
      <c r="I227" s="3">
        <v>1</v>
      </c>
      <c r="J227" s="3" t="s">
        <v>33</v>
      </c>
      <c r="K227" s="3">
        <f t="shared" si="7"/>
        <v>1</v>
      </c>
    </row>
    <row r="228" spans="1:11" x14ac:dyDescent="0.25">
      <c r="A228" s="3">
        <v>5</v>
      </c>
      <c r="B228" s="13">
        <v>46258.4446412037</v>
      </c>
      <c r="C228" s="3" t="s">
        <v>15</v>
      </c>
      <c r="D228" s="5">
        <v>0.84399999999999997</v>
      </c>
      <c r="E228" s="3" t="s">
        <v>14</v>
      </c>
      <c r="F228" s="5">
        <v>127.161</v>
      </c>
      <c r="G228" s="3" t="s">
        <v>15</v>
      </c>
      <c r="H228" s="3">
        <f t="shared" si="6"/>
        <v>1</v>
      </c>
      <c r="K228" s="3" t="str">
        <f t="shared" si="7"/>
        <v/>
      </c>
    </row>
    <row r="229" spans="1:11" x14ac:dyDescent="0.25">
      <c r="A229" s="3">
        <v>5</v>
      </c>
      <c r="B229" s="13">
        <v>46258.444722222201</v>
      </c>
      <c r="C229" s="3" t="s">
        <v>27</v>
      </c>
      <c r="D229" s="5">
        <v>0.82799999999999996</v>
      </c>
      <c r="E229" s="3" t="s">
        <v>12</v>
      </c>
      <c r="F229" s="5">
        <v>149.126</v>
      </c>
      <c r="G229" s="3" t="s">
        <v>27</v>
      </c>
      <c r="H229" s="3">
        <f t="shared" si="6"/>
        <v>1</v>
      </c>
      <c r="K229" s="3" t="str">
        <f t="shared" si="7"/>
        <v/>
      </c>
    </row>
    <row r="230" spans="1:11" x14ac:dyDescent="0.25">
      <c r="A230" s="3">
        <v>5</v>
      </c>
      <c r="B230" s="13">
        <v>46258.444803240702</v>
      </c>
      <c r="C230" s="3" t="s">
        <v>32</v>
      </c>
      <c r="D230" s="5">
        <v>0.87</v>
      </c>
      <c r="E230" s="3" t="s">
        <v>14</v>
      </c>
      <c r="F230" s="5">
        <v>147.66999999999999</v>
      </c>
      <c r="G230" s="3" t="s">
        <v>32</v>
      </c>
      <c r="H230" s="3">
        <f t="shared" si="6"/>
        <v>1</v>
      </c>
      <c r="K230" s="3" t="str">
        <f t="shared" si="7"/>
        <v/>
      </c>
    </row>
    <row r="231" spans="1:11" x14ac:dyDescent="0.25">
      <c r="A231" s="3">
        <v>5</v>
      </c>
      <c r="B231" s="13">
        <v>46258.444988425901</v>
      </c>
      <c r="C231" s="3" t="s">
        <v>32</v>
      </c>
      <c r="D231" s="5">
        <v>0.83399999999999996</v>
      </c>
      <c r="E231" s="3" t="s">
        <v>14</v>
      </c>
      <c r="F231" s="5">
        <v>115.92700000000001</v>
      </c>
      <c r="G231" s="3" t="s">
        <v>32</v>
      </c>
      <c r="H231" s="3">
        <f t="shared" si="6"/>
        <v>1</v>
      </c>
      <c r="K231" s="3" t="str">
        <f t="shared" si="7"/>
        <v/>
      </c>
    </row>
    <row r="232" spans="1:11" x14ac:dyDescent="0.25">
      <c r="A232" s="3">
        <v>5</v>
      </c>
      <c r="B232" s="13">
        <v>46258.445081018501</v>
      </c>
      <c r="C232" s="3" t="s">
        <v>17</v>
      </c>
      <c r="D232" s="5">
        <v>0.86699999999999999</v>
      </c>
      <c r="E232" s="3" t="s">
        <v>14</v>
      </c>
      <c r="F232" s="5">
        <v>137.63</v>
      </c>
      <c r="G232" s="3" t="s">
        <v>17</v>
      </c>
      <c r="H232" s="3">
        <f t="shared" si="6"/>
        <v>1</v>
      </c>
      <c r="K232" s="3" t="str">
        <f t="shared" si="7"/>
        <v/>
      </c>
    </row>
    <row r="233" spans="1:11" x14ac:dyDescent="0.25">
      <c r="A233" s="3">
        <v>5</v>
      </c>
      <c r="B233" s="13">
        <v>46258.445196759298</v>
      </c>
      <c r="C233" s="3" t="s">
        <v>37</v>
      </c>
      <c r="D233" s="5">
        <v>0.86</v>
      </c>
      <c r="E233" s="3" t="s">
        <v>14</v>
      </c>
      <c r="F233" s="5">
        <v>125.679</v>
      </c>
      <c r="G233" s="3" t="s">
        <v>37</v>
      </c>
      <c r="H233" s="3">
        <f t="shared" si="6"/>
        <v>1</v>
      </c>
      <c r="K233" s="3" t="str">
        <f t="shared" si="7"/>
        <v/>
      </c>
    </row>
    <row r="234" spans="1:11" x14ac:dyDescent="0.25">
      <c r="A234" s="3">
        <v>5</v>
      </c>
      <c r="B234" s="13">
        <v>46258.445393518501</v>
      </c>
      <c r="C234" s="3" t="s">
        <v>15</v>
      </c>
      <c r="D234" s="5">
        <v>0.96</v>
      </c>
      <c r="E234" s="3" t="s">
        <v>14</v>
      </c>
      <c r="F234" s="5">
        <v>135.28</v>
      </c>
      <c r="G234" s="3" t="s">
        <v>15</v>
      </c>
      <c r="H234" s="3">
        <f t="shared" si="6"/>
        <v>1</v>
      </c>
      <c r="K234" s="3" t="str">
        <f t="shared" si="7"/>
        <v/>
      </c>
    </row>
    <row r="235" spans="1:11" x14ac:dyDescent="0.25">
      <c r="A235" s="3">
        <v>5</v>
      </c>
      <c r="B235" s="13">
        <v>46258.445520833302</v>
      </c>
      <c r="C235" s="3" t="s">
        <v>27</v>
      </c>
      <c r="D235" s="5">
        <v>0.68300000000000005</v>
      </c>
      <c r="E235" s="3" t="s">
        <v>12</v>
      </c>
      <c r="F235" s="5">
        <v>114.07599999999999</v>
      </c>
      <c r="G235" s="3" t="s">
        <v>20</v>
      </c>
      <c r="H235" s="3">
        <f t="shared" si="6"/>
        <v>0</v>
      </c>
      <c r="I235" s="3">
        <v>1</v>
      </c>
      <c r="J235" s="3" t="s">
        <v>27</v>
      </c>
      <c r="K235" s="3">
        <f t="shared" si="7"/>
        <v>0</v>
      </c>
    </row>
    <row r="236" spans="1:11" x14ac:dyDescent="0.25">
      <c r="A236" s="3">
        <v>6</v>
      </c>
      <c r="B236" s="13">
        <v>46258.449317129598</v>
      </c>
      <c r="C236" s="3" t="s">
        <v>30</v>
      </c>
      <c r="D236" s="5">
        <v>0.67800000000000005</v>
      </c>
      <c r="E236" s="3" t="s">
        <v>14</v>
      </c>
      <c r="F236" s="5">
        <v>116.42</v>
      </c>
      <c r="G236" s="3" t="s">
        <v>21</v>
      </c>
      <c r="H236" s="3">
        <f t="shared" si="6"/>
        <v>0</v>
      </c>
      <c r="I236" s="3">
        <v>1</v>
      </c>
      <c r="J236" s="3" t="s">
        <v>30</v>
      </c>
      <c r="K236" s="3">
        <f t="shared" si="7"/>
        <v>0</v>
      </c>
    </row>
    <row r="237" spans="1:11" x14ac:dyDescent="0.25">
      <c r="A237" s="3">
        <v>6</v>
      </c>
      <c r="B237" s="13">
        <v>46258.449421296304</v>
      </c>
      <c r="C237" s="3" t="s">
        <v>34</v>
      </c>
      <c r="D237" s="5">
        <v>0.85499999999999998</v>
      </c>
      <c r="E237" s="3" t="s">
        <v>14</v>
      </c>
      <c r="F237" s="5">
        <v>138.161</v>
      </c>
      <c r="G237" s="3" t="s">
        <v>34</v>
      </c>
      <c r="H237" s="3">
        <f t="shared" si="6"/>
        <v>1</v>
      </c>
      <c r="I237" s="3">
        <v>1</v>
      </c>
      <c r="J237" s="3" t="s">
        <v>34</v>
      </c>
      <c r="K237" s="3">
        <f t="shared" si="7"/>
        <v>1</v>
      </c>
    </row>
    <row r="238" spans="1:11" x14ac:dyDescent="0.25">
      <c r="A238" s="3">
        <v>6</v>
      </c>
      <c r="B238" s="13">
        <v>46258.449571759302</v>
      </c>
      <c r="C238" s="3" t="s">
        <v>18</v>
      </c>
      <c r="D238" s="5">
        <v>0.75700000000000001</v>
      </c>
      <c r="E238" s="3" t="s">
        <v>14</v>
      </c>
      <c r="F238" s="5">
        <v>131.167</v>
      </c>
      <c r="G238" s="3" t="s">
        <v>18</v>
      </c>
      <c r="H238" s="3">
        <f t="shared" si="6"/>
        <v>1</v>
      </c>
      <c r="K238" s="3" t="str">
        <f t="shared" si="7"/>
        <v/>
      </c>
    </row>
    <row r="239" spans="1:11" x14ac:dyDescent="0.25">
      <c r="A239" s="3">
        <v>6</v>
      </c>
      <c r="B239" s="13">
        <v>46258.449930555602</v>
      </c>
      <c r="C239" s="3" t="s">
        <v>25</v>
      </c>
      <c r="D239" s="5">
        <v>0.82399999999999995</v>
      </c>
      <c r="E239" s="3" t="s">
        <v>14</v>
      </c>
      <c r="F239" s="5">
        <v>143.65899999999999</v>
      </c>
      <c r="G239" s="3" t="s">
        <v>25</v>
      </c>
      <c r="H239" s="3">
        <f t="shared" si="6"/>
        <v>1</v>
      </c>
      <c r="K239" s="3" t="str">
        <f t="shared" si="7"/>
        <v/>
      </c>
    </row>
    <row r="240" spans="1:11" x14ac:dyDescent="0.25">
      <c r="A240" s="3">
        <v>6</v>
      </c>
      <c r="B240" s="13">
        <v>46258.450231481504</v>
      </c>
      <c r="C240" s="3" t="s">
        <v>35</v>
      </c>
      <c r="D240" s="5">
        <v>0.84399999999999997</v>
      </c>
      <c r="E240" s="3" t="s">
        <v>14</v>
      </c>
      <c r="F240" s="5">
        <v>117.995</v>
      </c>
      <c r="G240" s="3" t="s">
        <v>35</v>
      </c>
      <c r="H240" s="3">
        <f t="shared" si="6"/>
        <v>1</v>
      </c>
      <c r="K240" s="3" t="str">
        <f t="shared" si="7"/>
        <v/>
      </c>
    </row>
    <row r="241" spans="1:11" x14ac:dyDescent="0.25">
      <c r="A241" s="3">
        <v>6</v>
      </c>
      <c r="B241" s="13">
        <v>46258.450486111098</v>
      </c>
      <c r="C241" s="3" t="s">
        <v>29</v>
      </c>
      <c r="D241" s="5">
        <v>0.84799999999999998</v>
      </c>
      <c r="E241" s="3" t="s">
        <v>14</v>
      </c>
      <c r="F241" s="5">
        <v>141.089</v>
      </c>
      <c r="G241" s="3" t="s">
        <v>29</v>
      </c>
      <c r="H241" s="3">
        <f t="shared" si="6"/>
        <v>1</v>
      </c>
      <c r="I241" s="3">
        <v>1</v>
      </c>
      <c r="J241" s="3" t="s">
        <v>29</v>
      </c>
      <c r="K241" s="3">
        <f t="shared" si="7"/>
        <v>1</v>
      </c>
    </row>
    <row r="242" spans="1:11" x14ac:dyDescent="0.25">
      <c r="A242" s="3">
        <v>6</v>
      </c>
      <c r="B242" s="13">
        <v>46258.450763888897</v>
      </c>
      <c r="C242" s="3" t="s">
        <v>27</v>
      </c>
      <c r="D242" s="5">
        <v>0.84899999999999998</v>
      </c>
      <c r="E242" s="3" t="s">
        <v>12</v>
      </c>
      <c r="F242" s="5">
        <v>150.09700000000001</v>
      </c>
      <c r="G242" s="3" t="s">
        <v>27</v>
      </c>
      <c r="H242" s="3">
        <f t="shared" si="6"/>
        <v>1</v>
      </c>
      <c r="K242" s="3" t="str">
        <f t="shared" si="7"/>
        <v/>
      </c>
    </row>
    <row r="243" spans="1:11" x14ac:dyDescent="0.25">
      <c r="A243" s="3">
        <v>6</v>
      </c>
      <c r="B243" s="13">
        <v>46258.451041666704</v>
      </c>
      <c r="C243" s="3" t="s">
        <v>26</v>
      </c>
      <c r="D243" s="5">
        <v>0.80800000000000005</v>
      </c>
      <c r="E243" s="3" t="s">
        <v>14</v>
      </c>
      <c r="F243" s="5">
        <v>115.363</v>
      </c>
      <c r="G243" s="3" t="s">
        <v>31</v>
      </c>
      <c r="H243" s="3">
        <f t="shared" si="6"/>
        <v>0</v>
      </c>
      <c r="I243" s="3">
        <v>1</v>
      </c>
      <c r="J243" s="3" t="s">
        <v>26</v>
      </c>
      <c r="K243" s="3">
        <f t="shared" si="7"/>
        <v>0</v>
      </c>
    </row>
    <row r="244" spans="1:11" x14ac:dyDescent="0.25">
      <c r="A244" s="3">
        <v>6</v>
      </c>
      <c r="B244" s="13">
        <v>46258.451249999998</v>
      </c>
      <c r="C244" s="3" t="s">
        <v>18</v>
      </c>
      <c r="D244" s="5">
        <v>0.84799999999999998</v>
      </c>
      <c r="E244" s="3" t="s">
        <v>14</v>
      </c>
      <c r="F244" s="5">
        <v>106.97499999999999</v>
      </c>
      <c r="G244" s="3" t="s">
        <v>26</v>
      </c>
      <c r="H244" s="3">
        <f t="shared" si="6"/>
        <v>0</v>
      </c>
      <c r="I244" s="3">
        <v>1</v>
      </c>
      <c r="J244" s="3" t="s">
        <v>15</v>
      </c>
      <c r="K244" s="3">
        <f t="shared" si="7"/>
        <v>0</v>
      </c>
    </row>
    <row r="245" spans="1:11" x14ac:dyDescent="0.25">
      <c r="A245" s="3">
        <v>6</v>
      </c>
      <c r="B245" s="13">
        <v>46258.451516203699</v>
      </c>
      <c r="C245" s="3" t="s">
        <v>24</v>
      </c>
      <c r="D245" s="5">
        <v>0.90700000000000003</v>
      </c>
      <c r="E245" s="3" t="s">
        <v>14</v>
      </c>
      <c r="F245" s="5">
        <v>139.27500000000001</v>
      </c>
      <c r="G245" s="3" t="s">
        <v>24</v>
      </c>
      <c r="H245" s="3">
        <f t="shared" si="6"/>
        <v>1</v>
      </c>
      <c r="K245" s="3" t="str">
        <f t="shared" si="7"/>
        <v/>
      </c>
    </row>
    <row r="246" spans="1:11" x14ac:dyDescent="0.25">
      <c r="A246" s="3">
        <v>6</v>
      </c>
      <c r="B246" s="13">
        <v>46258.451678240701</v>
      </c>
      <c r="C246" s="3" t="s">
        <v>20</v>
      </c>
      <c r="D246" s="5">
        <v>0.94299999999999995</v>
      </c>
      <c r="E246" s="3" t="s">
        <v>12</v>
      </c>
      <c r="F246" s="5">
        <v>118.95099999999999</v>
      </c>
      <c r="G246" s="3" t="s">
        <v>20</v>
      </c>
      <c r="H246" s="3">
        <f t="shared" si="6"/>
        <v>1</v>
      </c>
      <c r="I246" s="3">
        <v>1</v>
      </c>
      <c r="J246" s="3" t="s">
        <v>20</v>
      </c>
      <c r="K246" s="3">
        <f t="shared" si="7"/>
        <v>1</v>
      </c>
    </row>
    <row r="247" spans="1:11" x14ac:dyDescent="0.25">
      <c r="A247" s="3">
        <v>6</v>
      </c>
      <c r="B247" s="13">
        <v>46258.451793981498</v>
      </c>
      <c r="C247" s="3" t="s">
        <v>30</v>
      </c>
      <c r="D247" s="5">
        <v>0.88700000000000001</v>
      </c>
      <c r="E247" s="3" t="s">
        <v>14</v>
      </c>
      <c r="F247" s="5">
        <v>156.75</v>
      </c>
      <c r="G247" s="3" t="s">
        <v>30</v>
      </c>
      <c r="H247" s="3">
        <f t="shared" si="6"/>
        <v>1</v>
      </c>
      <c r="K247" s="3" t="str">
        <f t="shared" si="7"/>
        <v/>
      </c>
    </row>
    <row r="248" spans="1:11" x14ac:dyDescent="0.25">
      <c r="A248" s="3">
        <v>6</v>
      </c>
      <c r="B248" s="13">
        <v>46258.452037037001</v>
      </c>
      <c r="C248" s="3" t="s">
        <v>36</v>
      </c>
      <c r="D248" s="5">
        <v>0.81200000000000006</v>
      </c>
      <c r="E248" s="3" t="s">
        <v>14</v>
      </c>
      <c r="F248" s="5">
        <v>127.408</v>
      </c>
      <c r="G248" s="3" t="s">
        <v>36</v>
      </c>
      <c r="H248" s="3">
        <f t="shared" si="6"/>
        <v>1</v>
      </c>
      <c r="I248" s="3">
        <v>1</v>
      </c>
      <c r="J248" s="3" t="s">
        <v>29</v>
      </c>
      <c r="K248" s="3">
        <f t="shared" si="7"/>
        <v>0</v>
      </c>
    </row>
    <row r="249" spans="1:11" x14ac:dyDescent="0.25">
      <c r="A249" s="3">
        <v>6</v>
      </c>
      <c r="B249" s="13">
        <v>46258.452199074098</v>
      </c>
      <c r="C249" s="3" t="s">
        <v>39</v>
      </c>
      <c r="D249" s="5">
        <v>0.85499999999999998</v>
      </c>
      <c r="E249" s="3" t="s">
        <v>14</v>
      </c>
      <c r="F249" s="5">
        <v>138.03100000000001</v>
      </c>
      <c r="G249" s="3" t="s">
        <v>39</v>
      </c>
      <c r="H249" s="3">
        <f t="shared" si="6"/>
        <v>1</v>
      </c>
      <c r="K249" s="3" t="str">
        <f t="shared" si="7"/>
        <v/>
      </c>
    </row>
    <row r="250" spans="1:11" x14ac:dyDescent="0.25">
      <c r="A250" s="3">
        <v>6</v>
      </c>
      <c r="B250" s="13">
        <v>46258.4526273148</v>
      </c>
      <c r="C250" s="3" t="s">
        <v>19</v>
      </c>
      <c r="D250" s="5">
        <v>0.83</v>
      </c>
      <c r="E250" s="3" t="s">
        <v>14</v>
      </c>
      <c r="F250" s="5">
        <v>133.86799999999999</v>
      </c>
      <c r="G250" s="3" t="s">
        <v>19</v>
      </c>
      <c r="H250" s="3">
        <f t="shared" si="6"/>
        <v>1</v>
      </c>
      <c r="I250" s="3">
        <v>1</v>
      </c>
      <c r="J250" s="3" t="s">
        <v>19</v>
      </c>
      <c r="K250" s="3">
        <f t="shared" si="7"/>
        <v>1</v>
      </c>
    </row>
    <row r="251" spans="1:11" x14ac:dyDescent="0.25">
      <c r="A251" s="3">
        <v>6</v>
      </c>
      <c r="B251" s="13">
        <v>46258.452916666698</v>
      </c>
      <c r="C251" s="3" t="s">
        <v>33</v>
      </c>
      <c r="D251" s="5">
        <v>0.85</v>
      </c>
      <c r="E251" s="3" t="s">
        <v>14</v>
      </c>
      <c r="F251" s="5">
        <v>110.523</v>
      </c>
      <c r="G251" s="3" t="s">
        <v>33</v>
      </c>
      <c r="H251" s="3">
        <f t="shared" si="6"/>
        <v>1</v>
      </c>
      <c r="K251" s="3" t="str">
        <f t="shared" si="7"/>
        <v/>
      </c>
    </row>
    <row r="252" spans="1:11" x14ac:dyDescent="0.25">
      <c r="A252" s="3">
        <v>6</v>
      </c>
      <c r="B252" s="13">
        <v>46258.453298611101</v>
      </c>
      <c r="C252" s="3" t="s">
        <v>16</v>
      </c>
      <c r="D252" s="5">
        <v>0.66800000000000004</v>
      </c>
      <c r="E252" s="3" t="s">
        <v>14</v>
      </c>
      <c r="F252" s="5">
        <v>136.45400000000001</v>
      </c>
      <c r="G252" s="3" t="s">
        <v>13</v>
      </c>
      <c r="H252" s="3">
        <f t="shared" si="6"/>
        <v>0</v>
      </c>
      <c r="I252" s="3">
        <v>1</v>
      </c>
      <c r="J252" s="3" t="s">
        <v>16</v>
      </c>
      <c r="K252" s="3">
        <f t="shared" si="7"/>
        <v>0</v>
      </c>
    </row>
    <row r="253" spans="1:11" x14ac:dyDescent="0.25">
      <c r="A253" s="3">
        <v>6</v>
      </c>
      <c r="B253" s="13">
        <v>46258.4534837963</v>
      </c>
      <c r="C253" s="3" t="s">
        <v>16</v>
      </c>
      <c r="D253" s="5">
        <v>0.878</v>
      </c>
      <c r="E253" s="3" t="s">
        <v>14</v>
      </c>
      <c r="F253" s="5">
        <v>124.04900000000001</v>
      </c>
      <c r="G253" s="3" t="s">
        <v>16</v>
      </c>
      <c r="H253" s="3">
        <f t="shared" si="6"/>
        <v>1</v>
      </c>
      <c r="I253" s="3">
        <v>1</v>
      </c>
      <c r="J253" s="3" t="s">
        <v>16</v>
      </c>
      <c r="K253" s="3">
        <f t="shared" si="7"/>
        <v>1</v>
      </c>
    </row>
    <row r="254" spans="1:11" x14ac:dyDescent="0.25">
      <c r="A254" s="3">
        <v>6</v>
      </c>
      <c r="B254" s="13">
        <v>46258.453599537002</v>
      </c>
      <c r="C254" s="3" t="s">
        <v>32</v>
      </c>
      <c r="D254" s="5">
        <v>0.93700000000000006</v>
      </c>
      <c r="E254" s="3" t="s">
        <v>14</v>
      </c>
      <c r="F254" s="5">
        <v>111.14</v>
      </c>
      <c r="G254" s="3" t="s">
        <v>32</v>
      </c>
      <c r="H254" s="3">
        <f t="shared" si="6"/>
        <v>1</v>
      </c>
      <c r="I254" s="3">
        <v>1</v>
      </c>
      <c r="J254" s="3" t="s">
        <v>32</v>
      </c>
      <c r="K254" s="3">
        <f t="shared" si="7"/>
        <v>1</v>
      </c>
    </row>
    <row r="255" spans="1:11" x14ac:dyDescent="0.25">
      <c r="A255" s="3">
        <v>6</v>
      </c>
      <c r="B255" s="13">
        <v>46258.453854166699</v>
      </c>
      <c r="C255" s="3" t="s">
        <v>22</v>
      </c>
      <c r="D255" s="5">
        <v>0.89</v>
      </c>
      <c r="E255" s="3" t="s">
        <v>14</v>
      </c>
      <c r="F255" s="5">
        <v>151.51300000000001</v>
      </c>
      <c r="G255" s="3" t="s">
        <v>22</v>
      </c>
      <c r="H255" s="3">
        <f t="shared" si="6"/>
        <v>1</v>
      </c>
      <c r="K255" s="3" t="str">
        <f t="shared" si="7"/>
        <v/>
      </c>
    </row>
    <row r="256" spans="1:11" x14ac:dyDescent="0.25">
      <c r="A256" s="3">
        <v>6</v>
      </c>
      <c r="B256" s="13">
        <v>46258.454143518502</v>
      </c>
      <c r="C256" s="3" t="s">
        <v>17</v>
      </c>
      <c r="D256" s="5">
        <v>0.871</v>
      </c>
      <c r="E256" s="3" t="s">
        <v>14</v>
      </c>
      <c r="F256" s="5">
        <v>87.855999999999995</v>
      </c>
      <c r="G256" s="3" t="s">
        <v>17</v>
      </c>
      <c r="H256" s="3">
        <f t="shared" si="6"/>
        <v>1</v>
      </c>
      <c r="K256" s="3" t="str">
        <f t="shared" si="7"/>
        <v/>
      </c>
    </row>
    <row r="257" spans="1:11" x14ac:dyDescent="0.25">
      <c r="A257" s="3">
        <v>6</v>
      </c>
      <c r="B257" s="13">
        <v>46258.454409722202</v>
      </c>
      <c r="C257" s="3" t="s">
        <v>23</v>
      </c>
      <c r="D257" s="5">
        <v>0.88100000000000001</v>
      </c>
      <c r="E257" s="3" t="s">
        <v>14</v>
      </c>
      <c r="F257" s="5">
        <v>126.419</v>
      </c>
      <c r="G257" s="3" t="s">
        <v>23</v>
      </c>
      <c r="H257" s="3">
        <f t="shared" si="6"/>
        <v>1</v>
      </c>
      <c r="K257" s="3" t="str">
        <f t="shared" si="7"/>
        <v/>
      </c>
    </row>
    <row r="258" spans="1:11" x14ac:dyDescent="0.25">
      <c r="A258" s="3">
        <v>6</v>
      </c>
      <c r="B258" s="13">
        <v>46258.454548611102</v>
      </c>
      <c r="C258" s="3" t="s">
        <v>15</v>
      </c>
      <c r="D258" s="5">
        <v>0.97399999999999998</v>
      </c>
      <c r="E258" s="3" t="s">
        <v>14</v>
      </c>
      <c r="F258" s="5">
        <v>133.768</v>
      </c>
      <c r="G258" s="3" t="s">
        <v>15</v>
      </c>
      <c r="H258" s="3">
        <f t="shared" ref="H258:H321" si="8">IF(C258=G258,1,0)</f>
        <v>1</v>
      </c>
      <c r="K258" s="3" t="str">
        <f t="shared" ref="K258:K321" si="9">IF(J258="","",IF(J258=G258,1,0))</f>
        <v/>
      </c>
    </row>
    <row r="259" spans="1:11" x14ac:dyDescent="0.25">
      <c r="A259" s="3">
        <v>6</v>
      </c>
      <c r="B259" s="13">
        <v>46258.454710648199</v>
      </c>
      <c r="C259" s="3" t="s">
        <v>28</v>
      </c>
      <c r="D259" s="5">
        <v>0.79100000000000004</v>
      </c>
      <c r="E259" s="3" t="s">
        <v>14</v>
      </c>
      <c r="F259" s="5">
        <v>128.798</v>
      </c>
      <c r="G259" s="3" t="s">
        <v>28</v>
      </c>
      <c r="H259" s="3">
        <f t="shared" si="8"/>
        <v>1</v>
      </c>
      <c r="I259" s="3">
        <v>1</v>
      </c>
      <c r="J259" s="3" t="s">
        <v>28</v>
      </c>
      <c r="K259" s="3">
        <f t="shared" si="9"/>
        <v>1</v>
      </c>
    </row>
    <row r="260" spans="1:11" x14ac:dyDescent="0.25">
      <c r="A260" s="3">
        <v>6</v>
      </c>
      <c r="B260" s="13">
        <v>46258.454884259299</v>
      </c>
      <c r="C260" s="3" t="s">
        <v>38</v>
      </c>
      <c r="D260" s="5">
        <v>0.90300000000000002</v>
      </c>
      <c r="E260" s="3" t="s">
        <v>14</v>
      </c>
      <c r="F260" s="5">
        <v>148.38</v>
      </c>
      <c r="G260" s="3" t="s">
        <v>38</v>
      </c>
      <c r="H260" s="3">
        <f t="shared" si="8"/>
        <v>1</v>
      </c>
      <c r="I260" s="3">
        <v>1</v>
      </c>
      <c r="J260" s="3" t="s">
        <v>38</v>
      </c>
      <c r="K260" s="3">
        <f t="shared" si="9"/>
        <v>1</v>
      </c>
    </row>
    <row r="261" spans="1:11" x14ac:dyDescent="0.25">
      <c r="A261" s="3">
        <v>6</v>
      </c>
      <c r="B261" s="13">
        <v>46258.455173611103</v>
      </c>
      <c r="C261" s="3" t="s">
        <v>35</v>
      </c>
      <c r="D261" s="5">
        <v>0.82899999999999996</v>
      </c>
      <c r="E261" s="3" t="s">
        <v>14</v>
      </c>
      <c r="F261" s="5">
        <v>99.066999999999993</v>
      </c>
      <c r="G261" s="3" t="s">
        <v>35</v>
      </c>
      <c r="H261" s="3">
        <f t="shared" si="8"/>
        <v>1</v>
      </c>
      <c r="K261" s="3" t="str">
        <f t="shared" si="9"/>
        <v/>
      </c>
    </row>
    <row r="262" spans="1:11" x14ac:dyDescent="0.25">
      <c r="A262" s="3">
        <v>6</v>
      </c>
      <c r="B262" s="13">
        <v>46258.455312500002</v>
      </c>
      <c r="C262" s="3" t="s">
        <v>39</v>
      </c>
      <c r="D262" s="5">
        <v>0.85199999999999998</v>
      </c>
      <c r="E262" s="3" t="s">
        <v>14</v>
      </c>
      <c r="F262" s="5">
        <v>123.038</v>
      </c>
      <c r="G262" s="3" t="s">
        <v>39</v>
      </c>
      <c r="H262" s="3">
        <f t="shared" si="8"/>
        <v>1</v>
      </c>
      <c r="I262" s="3">
        <v>1</v>
      </c>
      <c r="J262" s="3" t="s">
        <v>39</v>
      </c>
      <c r="K262" s="3">
        <f t="shared" si="9"/>
        <v>1</v>
      </c>
    </row>
    <row r="263" spans="1:11" x14ac:dyDescent="0.25">
      <c r="A263" s="3">
        <v>6</v>
      </c>
      <c r="B263" s="13">
        <v>46258.455474536997</v>
      </c>
      <c r="C263" s="3" t="s">
        <v>25</v>
      </c>
      <c r="D263" s="5">
        <v>0.79800000000000004</v>
      </c>
      <c r="E263" s="3" t="s">
        <v>14</v>
      </c>
      <c r="F263" s="5">
        <v>111.80500000000001</v>
      </c>
      <c r="G263" s="3" t="s">
        <v>25</v>
      </c>
      <c r="H263" s="3">
        <f t="shared" si="8"/>
        <v>1</v>
      </c>
      <c r="K263" s="3" t="str">
        <f t="shared" si="9"/>
        <v/>
      </c>
    </row>
    <row r="264" spans="1:11" x14ac:dyDescent="0.25">
      <c r="A264" s="3">
        <v>6</v>
      </c>
      <c r="B264" s="13">
        <v>46258.455682870401</v>
      </c>
      <c r="C264" s="3" t="s">
        <v>24</v>
      </c>
      <c r="D264" s="5">
        <v>0.85599999999999998</v>
      </c>
      <c r="E264" s="3" t="s">
        <v>14</v>
      </c>
      <c r="F264" s="5">
        <v>159.88300000000001</v>
      </c>
      <c r="G264" s="3" t="s">
        <v>24</v>
      </c>
      <c r="H264" s="3">
        <f t="shared" si="8"/>
        <v>1</v>
      </c>
      <c r="K264" s="3" t="str">
        <f t="shared" si="9"/>
        <v/>
      </c>
    </row>
    <row r="265" spans="1:11" x14ac:dyDescent="0.25">
      <c r="A265" s="3">
        <v>6</v>
      </c>
      <c r="B265" s="13">
        <v>46258.455949074101</v>
      </c>
      <c r="C265" s="3" t="s">
        <v>25</v>
      </c>
      <c r="D265" s="5">
        <v>0.92400000000000004</v>
      </c>
      <c r="E265" s="3" t="s">
        <v>14</v>
      </c>
      <c r="F265" s="5">
        <v>148.571</v>
      </c>
      <c r="G265" s="3" t="s">
        <v>25</v>
      </c>
      <c r="H265" s="3">
        <f t="shared" si="8"/>
        <v>1</v>
      </c>
      <c r="K265" s="3" t="str">
        <f t="shared" si="9"/>
        <v/>
      </c>
    </row>
    <row r="266" spans="1:11" x14ac:dyDescent="0.25">
      <c r="A266" s="3">
        <v>6</v>
      </c>
      <c r="B266" s="13">
        <v>46258.456296296303</v>
      </c>
      <c r="C266" s="3" t="s">
        <v>30</v>
      </c>
      <c r="D266" s="5">
        <v>0.871</v>
      </c>
      <c r="E266" s="3" t="s">
        <v>14</v>
      </c>
      <c r="F266" s="5">
        <v>137.178</v>
      </c>
      <c r="G266" s="3" t="s">
        <v>30</v>
      </c>
      <c r="H266" s="3">
        <f t="shared" si="8"/>
        <v>1</v>
      </c>
      <c r="K266" s="3" t="str">
        <f t="shared" si="9"/>
        <v/>
      </c>
    </row>
    <row r="267" spans="1:11" x14ac:dyDescent="0.25">
      <c r="A267" s="3">
        <v>6</v>
      </c>
      <c r="B267" s="13">
        <v>46258.4565856482</v>
      </c>
      <c r="C267" s="3" t="s">
        <v>32</v>
      </c>
      <c r="D267" s="5">
        <v>0.86099999999999999</v>
      </c>
      <c r="E267" s="3" t="s">
        <v>14</v>
      </c>
      <c r="F267" s="5">
        <v>154.35499999999999</v>
      </c>
      <c r="G267" s="3" t="s">
        <v>32</v>
      </c>
      <c r="H267" s="3">
        <f t="shared" si="8"/>
        <v>1</v>
      </c>
      <c r="K267" s="3" t="str">
        <f t="shared" si="9"/>
        <v/>
      </c>
    </row>
    <row r="268" spans="1:11" x14ac:dyDescent="0.25">
      <c r="A268" s="3">
        <v>6</v>
      </c>
      <c r="B268" s="13">
        <v>46258.456909722197</v>
      </c>
      <c r="C268" s="3" t="s">
        <v>25</v>
      </c>
      <c r="D268" s="5">
        <v>0.82499999999999996</v>
      </c>
      <c r="E268" s="3" t="s">
        <v>14</v>
      </c>
      <c r="F268" s="5">
        <v>125.087</v>
      </c>
      <c r="G268" s="3" t="s">
        <v>25</v>
      </c>
      <c r="H268" s="3">
        <f t="shared" si="8"/>
        <v>1</v>
      </c>
      <c r="I268" s="3">
        <v>1</v>
      </c>
      <c r="J268" s="3" t="s">
        <v>25</v>
      </c>
      <c r="K268" s="3">
        <f t="shared" si="9"/>
        <v>1</v>
      </c>
    </row>
    <row r="269" spans="1:11" x14ac:dyDescent="0.25">
      <c r="A269" s="3">
        <v>7</v>
      </c>
      <c r="B269" s="13">
        <v>46258.459039351903</v>
      </c>
      <c r="C269" s="3" t="s">
        <v>26</v>
      </c>
      <c r="D269" s="5">
        <v>0.86</v>
      </c>
      <c r="E269" s="3" t="s">
        <v>14</v>
      </c>
      <c r="F269" s="5">
        <v>143.61199999999999</v>
      </c>
      <c r="G269" s="3" t="s">
        <v>26</v>
      </c>
      <c r="H269" s="3">
        <f t="shared" si="8"/>
        <v>1</v>
      </c>
      <c r="K269" s="3" t="str">
        <f t="shared" si="9"/>
        <v/>
      </c>
    </row>
    <row r="270" spans="1:11" x14ac:dyDescent="0.25">
      <c r="A270" s="3">
        <v>7</v>
      </c>
      <c r="B270" s="13">
        <v>46258.459212962996</v>
      </c>
      <c r="C270" s="3" t="s">
        <v>26</v>
      </c>
      <c r="D270" s="5">
        <v>0.76100000000000001</v>
      </c>
      <c r="E270" s="3" t="s">
        <v>14</v>
      </c>
      <c r="F270" s="5">
        <v>124.86499999999999</v>
      </c>
      <c r="G270" s="3" t="s">
        <v>31</v>
      </c>
      <c r="H270" s="3">
        <f t="shared" si="8"/>
        <v>0</v>
      </c>
      <c r="K270" s="3" t="str">
        <f t="shared" si="9"/>
        <v/>
      </c>
    </row>
    <row r="271" spans="1:11" x14ac:dyDescent="0.25">
      <c r="A271" s="3">
        <v>7</v>
      </c>
      <c r="B271" s="13">
        <v>46258.459479166697</v>
      </c>
      <c r="C271" s="3" t="s">
        <v>16</v>
      </c>
      <c r="D271" s="5">
        <v>0.91300000000000003</v>
      </c>
      <c r="E271" s="3" t="s">
        <v>14</v>
      </c>
      <c r="F271" s="5">
        <v>105.01300000000001</v>
      </c>
      <c r="G271" s="3" t="s">
        <v>16</v>
      </c>
      <c r="H271" s="3">
        <f t="shared" si="8"/>
        <v>1</v>
      </c>
      <c r="K271" s="3" t="str">
        <f t="shared" si="9"/>
        <v/>
      </c>
    </row>
    <row r="272" spans="1:11" x14ac:dyDescent="0.25">
      <c r="A272" s="3">
        <v>7</v>
      </c>
      <c r="B272" s="13">
        <v>46258.459606481498</v>
      </c>
      <c r="C272" s="3" t="s">
        <v>35</v>
      </c>
      <c r="D272" s="5">
        <v>0.96</v>
      </c>
      <c r="E272" s="3" t="s">
        <v>14</v>
      </c>
      <c r="F272" s="5">
        <v>97.411000000000001</v>
      </c>
      <c r="G272" s="3" t="s">
        <v>35</v>
      </c>
      <c r="H272" s="3">
        <f t="shared" si="8"/>
        <v>1</v>
      </c>
      <c r="I272" s="3">
        <v>1</v>
      </c>
      <c r="J272" s="3" t="s">
        <v>35</v>
      </c>
      <c r="K272" s="3">
        <f t="shared" si="9"/>
        <v>1</v>
      </c>
    </row>
    <row r="273" spans="1:11" x14ac:dyDescent="0.25">
      <c r="A273" s="3">
        <v>7</v>
      </c>
      <c r="B273" s="13">
        <v>46258.459803240701</v>
      </c>
      <c r="C273" s="3" t="s">
        <v>21</v>
      </c>
      <c r="D273" s="5">
        <v>0.8</v>
      </c>
      <c r="E273" s="3" t="s">
        <v>14</v>
      </c>
      <c r="F273" s="5">
        <v>85</v>
      </c>
      <c r="G273" s="3" t="s">
        <v>21</v>
      </c>
      <c r="H273" s="3">
        <f t="shared" si="8"/>
        <v>1</v>
      </c>
      <c r="K273" s="3" t="str">
        <f t="shared" si="9"/>
        <v/>
      </c>
    </row>
    <row r="274" spans="1:11" x14ac:dyDescent="0.25">
      <c r="A274" s="3">
        <v>7</v>
      </c>
      <c r="B274" s="13">
        <v>46258.459942129601</v>
      </c>
      <c r="C274" s="3" t="s">
        <v>39</v>
      </c>
      <c r="D274" s="5">
        <v>0.91100000000000003</v>
      </c>
      <c r="E274" s="3" t="s">
        <v>14</v>
      </c>
      <c r="F274" s="5">
        <v>98.524000000000001</v>
      </c>
      <c r="G274" s="3" t="s">
        <v>39</v>
      </c>
      <c r="H274" s="3">
        <f t="shared" si="8"/>
        <v>1</v>
      </c>
      <c r="K274" s="3" t="str">
        <f t="shared" si="9"/>
        <v/>
      </c>
    </row>
    <row r="275" spans="1:11" x14ac:dyDescent="0.25">
      <c r="A275" s="3">
        <v>7</v>
      </c>
      <c r="B275" s="13">
        <v>46258.460057870398</v>
      </c>
      <c r="C275" s="3" t="s">
        <v>17</v>
      </c>
      <c r="D275" s="5">
        <v>0.874</v>
      </c>
      <c r="E275" s="3" t="s">
        <v>14</v>
      </c>
      <c r="F275" s="5">
        <v>88.619</v>
      </c>
      <c r="G275" s="3" t="s">
        <v>17</v>
      </c>
      <c r="H275" s="3">
        <f t="shared" si="8"/>
        <v>1</v>
      </c>
      <c r="K275" s="3" t="str">
        <f t="shared" si="9"/>
        <v/>
      </c>
    </row>
    <row r="276" spans="1:11" x14ac:dyDescent="0.25">
      <c r="A276" s="3">
        <v>7</v>
      </c>
      <c r="B276" s="13">
        <v>46258.460196759297</v>
      </c>
      <c r="C276" s="3" t="s">
        <v>11</v>
      </c>
      <c r="D276" s="5">
        <v>0.87</v>
      </c>
      <c r="E276" s="3" t="s">
        <v>12</v>
      </c>
      <c r="F276" s="5">
        <v>104.45</v>
      </c>
      <c r="G276" s="3" t="s">
        <v>11</v>
      </c>
      <c r="H276" s="3">
        <f t="shared" si="8"/>
        <v>1</v>
      </c>
      <c r="K276" s="3" t="str">
        <f t="shared" si="9"/>
        <v/>
      </c>
    </row>
    <row r="277" spans="1:11" x14ac:dyDescent="0.25">
      <c r="A277" s="3">
        <v>7</v>
      </c>
      <c r="B277" s="13">
        <v>46258.460358796299</v>
      </c>
      <c r="C277" s="3" t="s">
        <v>13</v>
      </c>
      <c r="D277" s="5">
        <v>0.83</v>
      </c>
      <c r="E277" s="3" t="s">
        <v>14</v>
      </c>
      <c r="F277" s="5">
        <v>126.93600000000001</v>
      </c>
      <c r="G277" s="3" t="s">
        <v>13</v>
      </c>
      <c r="H277" s="3">
        <f t="shared" si="8"/>
        <v>1</v>
      </c>
      <c r="K277" s="3" t="str">
        <f t="shared" si="9"/>
        <v/>
      </c>
    </row>
    <row r="278" spans="1:11" x14ac:dyDescent="0.25">
      <c r="A278" s="3">
        <v>7</v>
      </c>
      <c r="B278" s="13">
        <v>46258.460509259297</v>
      </c>
      <c r="C278" s="3" t="s">
        <v>15</v>
      </c>
      <c r="D278" s="5">
        <v>0.72699999999999998</v>
      </c>
      <c r="E278" s="3" t="s">
        <v>14</v>
      </c>
      <c r="F278" s="5">
        <v>127.965</v>
      </c>
      <c r="G278" s="3" t="s">
        <v>32</v>
      </c>
      <c r="H278" s="3">
        <f t="shared" si="8"/>
        <v>0</v>
      </c>
      <c r="I278" s="3">
        <v>1</v>
      </c>
      <c r="J278" s="3" t="s">
        <v>15</v>
      </c>
      <c r="K278" s="3">
        <f t="shared" si="9"/>
        <v>0</v>
      </c>
    </row>
    <row r="279" spans="1:11" x14ac:dyDescent="0.25">
      <c r="A279" s="3">
        <v>7</v>
      </c>
      <c r="B279" s="13">
        <v>46258.460636574098</v>
      </c>
      <c r="C279" s="3" t="s">
        <v>29</v>
      </c>
      <c r="D279" s="5">
        <v>0.69499999999999995</v>
      </c>
      <c r="E279" s="3" t="s">
        <v>14</v>
      </c>
      <c r="F279" s="5">
        <v>111.649</v>
      </c>
      <c r="G279" s="3" t="s">
        <v>36</v>
      </c>
      <c r="H279" s="3">
        <f t="shared" si="8"/>
        <v>0</v>
      </c>
      <c r="I279" s="3">
        <v>1</v>
      </c>
      <c r="J279" s="3" t="s">
        <v>29</v>
      </c>
      <c r="K279" s="3">
        <f t="shared" si="9"/>
        <v>0</v>
      </c>
    </row>
    <row r="280" spans="1:11" x14ac:dyDescent="0.25">
      <c r="A280" s="3">
        <v>7</v>
      </c>
      <c r="B280" s="13">
        <v>46258.460868055598</v>
      </c>
      <c r="C280" s="3" t="s">
        <v>30</v>
      </c>
      <c r="D280" s="5">
        <v>0.91300000000000003</v>
      </c>
      <c r="E280" s="3" t="s">
        <v>14</v>
      </c>
      <c r="F280" s="5">
        <v>119.81100000000001</v>
      </c>
      <c r="G280" s="3" t="s">
        <v>30</v>
      </c>
      <c r="H280" s="3">
        <f t="shared" si="8"/>
        <v>1</v>
      </c>
      <c r="K280" s="3" t="str">
        <f t="shared" si="9"/>
        <v/>
      </c>
    </row>
    <row r="281" spans="1:11" x14ac:dyDescent="0.25">
      <c r="A281" s="3">
        <v>7</v>
      </c>
      <c r="B281" s="13">
        <v>46258.461099537002</v>
      </c>
      <c r="C281" s="3" t="s">
        <v>24</v>
      </c>
      <c r="D281" s="5">
        <v>0.89200000000000002</v>
      </c>
      <c r="E281" s="3" t="s">
        <v>14</v>
      </c>
      <c r="F281" s="5">
        <v>115.09699999999999</v>
      </c>
      <c r="G281" s="3" t="s">
        <v>24</v>
      </c>
      <c r="H281" s="3">
        <f t="shared" si="8"/>
        <v>1</v>
      </c>
      <c r="K281" s="3" t="str">
        <f t="shared" si="9"/>
        <v/>
      </c>
    </row>
    <row r="282" spans="1:11" x14ac:dyDescent="0.25">
      <c r="A282" s="3">
        <v>7</v>
      </c>
      <c r="B282" s="13">
        <v>46258.4612962963</v>
      </c>
      <c r="C282" s="3" t="s">
        <v>15</v>
      </c>
      <c r="D282" s="5">
        <v>0.83499999999999996</v>
      </c>
      <c r="E282" s="3" t="s">
        <v>14</v>
      </c>
      <c r="F282" s="5">
        <v>128.81100000000001</v>
      </c>
      <c r="G282" s="3" t="s">
        <v>15</v>
      </c>
      <c r="H282" s="3">
        <f t="shared" si="8"/>
        <v>1</v>
      </c>
      <c r="K282" s="3" t="str">
        <f t="shared" si="9"/>
        <v/>
      </c>
    </row>
    <row r="283" spans="1:11" x14ac:dyDescent="0.25">
      <c r="A283" s="3">
        <v>7</v>
      </c>
      <c r="B283" s="13">
        <v>46258.461446759298</v>
      </c>
      <c r="C283" s="3" t="s">
        <v>27</v>
      </c>
      <c r="D283" s="5">
        <v>0.79400000000000004</v>
      </c>
      <c r="E283" s="3" t="s">
        <v>12</v>
      </c>
      <c r="F283" s="5">
        <v>136.25200000000001</v>
      </c>
      <c r="G283" s="3" t="s">
        <v>27</v>
      </c>
      <c r="H283" s="3">
        <f t="shared" si="8"/>
        <v>1</v>
      </c>
      <c r="K283" s="3" t="str">
        <f t="shared" si="9"/>
        <v/>
      </c>
    </row>
    <row r="284" spans="1:11" x14ac:dyDescent="0.25">
      <c r="A284" s="3">
        <v>7</v>
      </c>
      <c r="B284" s="13">
        <v>46258.461643518502</v>
      </c>
      <c r="C284" s="3" t="s">
        <v>38</v>
      </c>
      <c r="D284" s="5">
        <v>0.89200000000000002</v>
      </c>
      <c r="E284" s="3" t="s">
        <v>14</v>
      </c>
      <c r="F284" s="5">
        <v>106.17700000000001</v>
      </c>
      <c r="G284" s="3" t="s">
        <v>38</v>
      </c>
      <c r="H284" s="3">
        <f t="shared" si="8"/>
        <v>1</v>
      </c>
      <c r="K284" s="3" t="str">
        <f t="shared" si="9"/>
        <v/>
      </c>
    </row>
    <row r="285" spans="1:11" x14ac:dyDescent="0.25">
      <c r="A285" s="3">
        <v>7</v>
      </c>
      <c r="B285" s="13">
        <v>46258.461770833303</v>
      </c>
      <c r="C285" s="3" t="s">
        <v>11</v>
      </c>
      <c r="D285" s="5">
        <v>0.72599999999999998</v>
      </c>
      <c r="E285" s="3" t="s">
        <v>12</v>
      </c>
      <c r="F285" s="5">
        <v>154.738</v>
      </c>
      <c r="G285" s="3" t="s">
        <v>19</v>
      </c>
      <c r="H285" s="3">
        <f t="shared" si="8"/>
        <v>0</v>
      </c>
      <c r="K285" s="3" t="str">
        <f t="shared" si="9"/>
        <v/>
      </c>
    </row>
    <row r="286" spans="1:11" x14ac:dyDescent="0.25">
      <c r="A286" s="3">
        <v>7</v>
      </c>
      <c r="B286" s="13">
        <v>46258.461932870399</v>
      </c>
      <c r="C286" s="3" t="s">
        <v>27</v>
      </c>
      <c r="D286" s="5">
        <v>0.83</v>
      </c>
      <c r="E286" s="3" t="s">
        <v>12</v>
      </c>
      <c r="F286" s="5">
        <v>133.79400000000001</v>
      </c>
      <c r="G286" s="3" t="s">
        <v>20</v>
      </c>
      <c r="H286" s="3">
        <f t="shared" si="8"/>
        <v>0</v>
      </c>
      <c r="K286" s="3" t="str">
        <f t="shared" si="9"/>
        <v/>
      </c>
    </row>
    <row r="287" spans="1:11" x14ac:dyDescent="0.25">
      <c r="A287" s="3">
        <v>7</v>
      </c>
      <c r="B287" s="13">
        <v>46258.4621064815</v>
      </c>
      <c r="C287" s="3" t="s">
        <v>28</v>
      </c>
      <c r="D287" s="5">
        <v>0.80700000000000005</v>
      </c>
      <c r="E287" s="3" t="s">
        <v>14</v>
      </c>
      <c r="F287" s="5">
        <v>114.797</v>
      </c>
      <c r="G287" s="3" t="s">
        <v>28</v>
      </c>
      <c r="H287" s="3">
        <f t="shared" si="8"/>
        <v>1</v>
      </c>
      <c r="K287" s="3" t="str">
        <f t="shared" si="9"/>
        <v/>
      </c>
    </row>
    <row r="288" spans="1:11" x14ac:dyDescent="0.25">
      <c r="A288" s="3">
        <v>7</v>
      </c>
      <c r="B288" s="13">
        <v>46258.462384259299</v>
      </c>
      <c r="C288" s="3" t="s">
        <v>38</v>
      </c>
      <c r="D288" s="5">
        <v>0.81599999999999995</v>
      </c>
      <c r="E288" s="3" t="s">
        <v>14</v>
      </c>
      <c r="F288" s="5">
        <v>100.491</v>
      </c>
      <c r="G288" s="3" t="s">
        <v>34</v>
      </c>
      <c r="H288" s="3">
        <f t="shared" si="8"/>
        <v>0</v>
      </c>
      <c r="I288" s="3">
        <v>1</v>
      </c>
      <c r="J288" s="3" t="s">
        <v>38</v>
      </c>
      <c r="K288" s="3">
        <f t="shared" si="9"/>
        <v>0</v>
      </c>
    </row>
    <row r="289" spans="1:11" x14ac:dyDescent="0.25">
      <c r="A289" s="3">
        <v>7</v>
      </c>
      <c r="B289" s="13">
        <v>46258.462546296301</v>
      </c>
      <c r="C289" s="3" t="s">
        <v>29</v>
      </c>
      <c r="D289" s="5">
        <v>0.95099999999999996</v>
      </c>
      <c r="E289" s="3" t="s">
        <v>14</v>
      </c>
      <c r="F289" s="5">
        <v>115.74</v>
      </c>
      <c r="G289" s="3" t="s">
        <v>29</v>
      </c>
      <c r="H289" s="3">
        <f t="shared" si="8"/>
        <v>1</v>
      </c>
      <c r="I289" s="3">
        <v>1</v>
      </c>
      <c r="J289" s="3" t="s">
        <v>29</v>
      </c>
      <c r="K289" s="3">
        <f t="shared" si="9"/>
        <v>1</v>
      </c>
    </row>
    <row r="290" spans="1:11" x14ac:dyDescent="0.25">
      <c r="A290" s="3">
        <v>7</v>
      </c>
      <c r="B290" s="13">
        <v>46258.462696759299</v>
      </c>
      <c r="C290" s="3" t="s">
        <v>33</v>
      </c>
      <c r="D290" s="5">
        <v>0.94199999999999995</v>
      </c>
      <c r="E290" s="3" t="s">
        <v>14</v>
      </c>
      <c r="F290" s="5">
        <v>102.16500000000001</v>
      </c>
      <c r="G290" s="3" t="s">
        <v>33</v>
      </c>
      <c r="H290" s="3">
        <f t="shared" si="8"/>
        <v>1</v>
      </c>
      <c r="I290" s="3">
        <v>1</v>
      </c>
      <c r="J290" s="3" t="s">
        <v>33</v>
      </c>
      <c r="K290" s="3">
        <f t="shared" si="9"/>
        <v>1</v>
      </c>
    </row>
    <row r="291" spans="1:11" x14ac:dyDescent="0.25">
      <c r="A291" s="3">
        <v>7</v>
      </c>
      <c r="B291" s="13">
        <v>46258.462858796302</v>
      </c>
      <c r="C291" s="3" t="s">
        <v>22</v>
      </c>
      <c r="D291" s="5">
        <v>0.84399999999999997</v>
      </c>
      <c r="E291" s="3" t="s">
        <v>14</v>
      </c>
      <c r="F291" s="5">
        <v>129.428</v>
      </c>
      <c r="G291" s="3" t="s">
        <v>22</v>
      </c>
      <c r="H291" s="3">
        <f t="shared" si="8"/>
        <v>1</v>
      </c>
      <c r="K291" s="3" t="str">
        <f t="shared" si="9"/>
        <v/>
      </c>
    </row>
    <row r="292" spans="1:11" x14ac:dyDescent="0.25">
      <c r="A292" s="3">
        <v>7</v>
      </c>
      <c r="B292" s="13">
        <v>46258.462986111103</v>
      </c>
      <c r="C292" s="3" t="s">
        <v>25</v>
      </c>
      <c r="D292" s="5">
        <v>0.87</v>
      </c>
      <c r="E292" s="3" t="s">
        <v>14</v>
      </c>
      <c r="F292" s="5">
        <v>130.857</v>
      </c>
      <c r="G292" s="3" t="s">
        <v>25</v>
      </c>
      <c r="H292" s="3">
        <f t="shared" si="8"/>
        <v>1</v>
      </c>
      <c r="I292" s="3">
        <v>1</v>
      </c>
      <c r="J292" s="3" t="s">
        <v>25</v>
      </c>
      <c r="K292" s="3">
        <f t="shared" si="9"/>
        <v>1</v>
      </c>
    </row>
    <row r="293" spans="1:11" x14ac:dyDescent="0.25">
      <c r="A293" s="3">
        <v>7</v>
      </c>
      <c r="B293" s="13">
        <v>46258.463101851899</v>
      </c>
      <c r="C293" s="3" t="s">
        <v>18</v>
      </c>
      <c r="D293" s="5">
        <v>0.92</v>
      </c>
      <c r="E293" s="3" t="s">
        <v>14</v>
      </c>
      <c r="F293" s="5">
        <v>93.494</v>
      </c>
      <c r="G293" s="3" t="s">
        <v>18</v>
      </c>
      <c r="H293" s="3">
        <f t="shared" si="8"/>
        <v>1</v>
      </c>
      <c r="K293" s="3" t="str">
        <f t="shared" si="9"/>
        <v/>
      </c>
    </row>
    <row r="294" spans="1:11" x14ac:dyDescent="0.25">
      <c r="A294" s="3">
        <v>7</v>
      </c>
      <c r="B294" s="13">
        <v>46258.463287036997</v>
      </c>
      <c r="C294" s="3" t="s">
        <v>20</v>
      </c>
      <c r="D294" s="5">
        <v>0.81499999999999995</v>
      </c>
      <c r="E294" s="3" t="s">
        <v>12</v>
      </c>
      <c r="F294" s="5">
        <v>162.21700000000001</v>
      </c>
      <c r="G294" s="3" t="s">
        <v>20</v>
      </c>
      <c r="H294" s="3">
        <f t="shared" si="8"/>
        <v>1</v>
      </c>
      <c r="K294" s="3" t="str">
        <f t="shared" si="9"/>
        <v/>
      </c>
    </row>
    <row r="295" spans="1:11" x14ac:dyDescent="0.25">
      <c r="A295" s="3">
        <v>7</v>
      </c>
      <c r="B295" s="13">
        <v>46258.463379629597</v>
      </c>
      <c r="C295" s="3" t="s">
        <v>28</v>
      </c>
      <c r="D295" s="5">
        <v>0.83599999999999997</v>
      </c>
      <c r="E295" s="3" t="s">
        <v>14</v>
      </c>
      <c r="F295" s="5">
        <v>99.406999999999996</v>
      </c>
      <c r="G295" s="3" t="s">
        <v>28</v>
      </c>
      <c r="H295" s="3">
        <f t="shared" si="8"/>
        <v>1</v>
      </c>
      <c r="K295" s="3" t="str">
        <f t="shared" si="9"/>
        <v/>
      </c>
    </row>
    <row r="296" spans="1:11" x14ac:dyDescent="0.25">
      <c r="A296" s="3">
        <v>7</v>
      </c>
      <c r="B296" s="13">
        <v>46258.4636805556</v>
      </c>
      <c r="C296" s="3" t="s">
        <v>39</v>
      </c>
      <c r="D296" s="5">
        <v>0.80100000000000005</v>
      </c>
      <c r="E296" s="3" t="s">
        <v>14</v>
      </c>
      <c r="F296" s="5">
        <v>106.842</v>
      </c>
      <c r="G296" s="3" t="s">
        <v>11</v>
      </c>
      <c r="H296" s="3">
        <f t="shared" si="8"/>
        <v>0</v>
      </c>
      <c r="I296" s="3">
        <v>1</v>
      </c>
      <c r="J296" s="3" t="s">
        <v>39</v>
      </c>
      <c r="K296" s="3">
        <f t="shared" si="9"/>
        <v>0</v>
      </c>
    </row>
    <row r="297" spans="1:11" x14ac:dyDescent="0.25">
      <c r="A297" s="3">
        <v>7</v>
      </c>
      <c r="B297" s="13">
        <v>46258.463819444398</v>
      </c>
      <c r="C297" s="3" t="s">
        <v>35</v>
      </c>
      <c r="D297" s="5">
        <v>0.91100000000000003</v>
      </c>
      <c r="E297" s="3" t="s">
        <v>14</v>
      </c>
      <c r="F297" s="5">
        <v>145.88999999999999</v>
      </c>
      <c r="G297" s="3" t="s">
        <v>35</v>
      </c>
      <c r="H297" s="3">
        <f t="shared" si="8"/>
        <v>1</v>
      </c>
      <c r="K297" s="3" t="str">
        <f t="shared" si="9"/>
        <v/>
      </c>
    </row>
    <row r="298" spans="1:11" x14ac:dyDescent="0.25">
      <c r="A298" s="3">
        <v>7</v>
      </c>
      <c r="B298" s="13">
        <v>46258.4640393519</v>
      </c>
      <c r="C298" s="3" t="s">
        <v>15</v>
      </c>
      <c r="D298" s="5">
        <v>0.93</v>
      </c>
      <c r="E298" s="3" t="s">
        <v>14</v>
      </c>
      <c r="F298" s="5">
        <v>85</v>
      </c>
      <c r="G298" s="3" t="s">
        <v>15</v>
      </c>
      <c r="H298" s="3">
        <f t="shared" si="8"/>
        <v>1</v>
      </c>
      <c r="I298" s="3">
        <v>1</v>
      </c>
      <c r="J298" s="3" t="s">
        <v>15</v>
      </c>
      <c r="K298" s="3">
        <f t="shared" si="9"/>
        <v>1</v>
      </c>
    </row>
    <row r="299" spans="1:11" x14ac:dyDescent="0.25">
      <c r="A299" s="3">
        <v>7</v>
      </c>
      <c r="B299" s="13">
        <v>46258.464212963001</v>
      </c>
      <c r="C299" s="3" t="s">
        <v>13</v>
      </c>
      <c r="D299" s="5">
        <v>0.96499999999999997</v>
      </c>
      <c r="E299" s="3" t="s">
        <v>14</v>
      </c>
      <c r="F299" s="5">
        <v>129.52500000000001</v>
      </c>
      <c r="G299" s="3" t="s">
        <v>13</v>
      </c>
      <c r="H299" s="3">
        <f t="shared" si="8"/>
        <v>1</v>
      </c>
      <c r="I299" s="3">
        <v>1</v>
      </c>
      <c r="J299" s="3" t="s">
        <v>13</v>
      </c>
      <c r="K299" s="3">
        <f t="shared" si="9"/>
        <v>1</v>
      </c>
    </row>
    <row r="300" spans="1:11" x14ac:dyDescent="0.25">
      <c r="A300" s="3">
        <v>7</v>
      </c>
      <c r="B300" s="13">
        <v>46258.464317129597</v>
      </c>
      <c r="C300" s="3" t="s">
        <v>27</v>
      </c>
      <c r="D300" s="5">
        <v>0.84499999999999997</v>
      </c>
      <c r="E300" s="3" t="s">
        <v>12</v>
      </c>
      <c r="F300" s="5">
        <v>145.744</v>
      </c>
      <c r="G300" s="3" t="s">
        <v>27</v>
      </c>
      <c r="H300" s="3">
        <f t="shared" si="8"/>
        <v>1</v>
      </c>
      <c r="K300" s="3" t="str">
        <f t="shared" si="9"/>
        <v/>
      </c>
    </row>
    <row r="301" spans="1:11" x14ac:dyDescent="0.25">
      <c r="A301" s="3">
        <v>7</v>
      </c>
      <c r="B301" s="13">
        <v>46258.464583333298</v>
      </c>
      <c r="C301" s="3" t="s">
        <v>19</v>
      </c>
      <c r="D301" s="5">
        <v>0.96599999999999997</v>
      </c>
      <c r="E301" s="3" t="s">
        <v>14</v>
      </c>
      <c r="F301" s="5">
        <v>122.92</v>
      </c>
      <c r="G301" s="3" t="s">
        <v>19</v>
      </c>
      <c r="H301" s="3">
        <f t="shared" si="8"/>
        <v>1</v>
      </c>
      <c r="K301" s="3" t="str">
        <f t="shared" si="9"/>
        <v/>
      </c>
    </row>
    <row r="302" spans="1:11" x14ac:dyDescent="0.25">
      <c r="A302" s="3">
        <v>7</v>
      </c>
      <c r="B302" s="13">
        <v>46258.464837963002</v>
      </c>
      <c r="C302" s="3" t="s">
        <v>30</v>
      </c>
      <c r="D302" s="5">
        <v>0.86699999999999999</v>
      </c>
      <c r="E302" s="3" t="s">
        <v>14</v>
      </c>
      <c r="F302" s="5">
        <v>110.57899999999999</v>
      </c>
      <c r="G302" s="3" t="s">
        <v>30</v>
      </c>
      <c r="H302" s="3">
        <f t="shared" si="8"/>
        <v>1</v>
      </c>
      <c r="K302" s="3" t="str">
        <f t="shared" si="9"/>
        <v/>
      </c>
    </row>
    <row r="303" spans="1:11" x14ac:dyDescent="0.25">
      <c r="A303" s="3">
        <v>7</v>
      </c>
      <c r="B303" s="13">
        <v>46258.464930555601</v>
      </c>
      <c r="C303" s="3" t="s">
        <v>29</v>
      </c>
      <c r="D303" s="5">
        <v>0.86499999999999999</v>
      </c>
      <c r="E303" s="3" t="s">
        <v>14</v>
      </c>
      <c r="F303" s="5">
        <v>117.852</v>
      </c>
      <c r="G303" s="3" t="s">
        <v>29</v>
      </c>
      <c r="H303" s="3">
        <f t="shared" si="8"/>
        <v>1</v>
      </c>
      <c r="K303" s="3" t="str">
        <f t="shared" si="9"/>
        <v/>
      </c>
    </row>
    <row r="304" spans="1:11" x14ac:dyDescent="0.25">
      <c r="A304" s="3">
        <v>7</v>
      </c>
      <c r="B304" s="13">
        <v>46258.465081018498</v>
      </c>
      <c r="C304" s="3" t="s">
        <v>20</v>
      </c>
      <c r="D304" s="5">
        <v>0.878</v>
      </c>
      <c r="E304" s="3" t="s">
        <v>12</v>
      </c>
      <c r="F304" s="5">
        <v>153.90700000000001</v>
      </c>
      <c r="G304" s="3" t="s">
        <v>20</v>
      </c>
      <c r="H304" s="3">
        <f t="shared" si="8"/>
        <v>1</v>
      </c>
      <c r="K304" s="3" t="str">
        <f t="shared" si="9"/>
        <v/>
      </c>
    </row>
    <row r="305" spans="1:11" x14ac:dyDescent="0.25">
      <c r="A305" s="3">
        <v>7</v>
      </c>
      <c r="B305" s="13">
        <v>46258.465381944399</v>
      </c>
      <c r="C305" s="3" t="s">
        <v>32</v>
      </c>
      <c r="D305" s="5">
        <v>0.95099999999999996</v>
      </c>
      <c r="E305" s="3" t="s">
        <v>14</v>
      </c>
      <c r="F305" s="5">
        <v>107.387</v>
      </c>
      <c r="G305" s="3" t="s">
        <v>32</v>
      </c>
      <c r="H305" s="3">
        <f t="shared" si="8"/>
        <v>1</v>
      </c>
      <c r="K305" s="3" t="str">
        <f t="shared" si="9"/>
        <v/>
      </c>
    </row>
    <row r="306" spans="1:11" x14ac:dyDescent="0.25">
      <c r="A306" s="3">
        <v>7</v>
      </c>
      <c r="B306" s="13">
        <v>46258.465543981503</v>
      </c>
      <c r="C306" s="3" t="s">
        <v>39</v>
      </c>
      <c r="D306" s="5">
        <v>0.80800000000000005</v>
      </c>
      <c r="E306" s="3" t="s">
        <v>14</v>
      </c>
      <c r="F306" s="5">
        <v>142.892</v>
      </c>
      <c r="G306" s="3" t="s">
        <v>19</v>
      </c>
      <c r="H306" s="3">
        <f t="shared" si="8"/>
        <v>0</v>
      </c>
      <c r="K306" s="3" t="str">
        <f t="shared" si="9"/>
        <v/>
      </c>
    </row>
    <row r="307" spans="1:11" x14ac:dyDescent="0.25">
      <c r="A307" s="3">
        <v>7</v>
      </c>
      <c r="B307" s="13">
        <v>46258.465659722198</v>
      </c>
      <c r="C307" s="3" t="s">
        <v>39</v>
      </c>
      <c r="D307" s="5">
        <v>0.80700000000000005</v>
      </c>
      <c r="E307" s="3" t="s">
        <v>14</v>
      </c>
      <c r="F307" s="5">
        <v>135.72399999999999</v>
      </c>
      <c r="G307" s="3" t="s">
        <v>39</v>
      </c>
      <c r="H307" s="3">
        <f t="shared" si="8"/>
        <v>1</v>
      </c>
      <c r="K307" s="3" t="str">
        <f t="shared" si="9"/>
        <v/>
      </c>
    </row>
    <row r="308" spans="1:11" x14ac:dyDescent="0.25">
      <c r="A308" s="3">
        <v>7</v>
      </c>
      <c r="B308" s="13">
        <v>46258.465833333299</v>
      </c>
      <c r="C308" s="3" t="s">
        <v>20</v>
      </c>
      <c r="D308" s="5">
        <v>0.872</v>
      </c>
      <c r="E308" s="3" t="s">
        <v>12</v>
      </c>
      <c r="F308" s="5">
        <v>155.399</v>
      </c>
      <c r="G308" s="3" t="s">
        <v>20</v>
      </c>
      <c r="H308" s="3">
        <f t="shared" si="8"/>
        <v>1</v>
      </c>
      <c r="I308" s="3">
        <v>1</v>
      </c>
      <c r="J308" s="3" t="s">
        <v>20</v>
      </c>
      <c r="K308" s="3">
        <f t="shared" si="9"/>
        <v>1</v>
      </c>
    </row>
    <row r="309" spans="1:11" x14ac:dyDescent="0.25">
      <c r="A309" s="3">
        <v>7</v>
      </c>
      <c r="B309" s="13">
        <v>46258.466030092597</v>
      </c>
      <c r="C309" s="3" t="s">
        <v>18</v>
      </c>
      <c r="D309" s="5">
        <v>0.98399999999999999</v>
      </c>
      <c r="E309" s="3" t="s">
        <v>14</v>
      </c>
      <c r="F309" s="5">
        <v>132.357</v>
      </c>
      <c r="G309" s="3" t="s">
        <v>18</v>
      </c>
      <c r="H309" s="3">
        <f t="shared" si="8"/>
        <v>1</v>
      </c>
      <c r="K309" s="3" t="str">
        <f t="shared" si="9"/>
        <v/>
      </c>
    </row>
    <row r="310" spans="1:11" x14ac:dyDescent="0.25">
      <c r="A310" s="3">
        <v>7</v>
      </c>
      <c r="B310" s="13">
        <v>46258.466342592597</v>
      </c>
      <c r="C310" s="3" t="s">
        <v>16</v>
      </c>
      <c r="D310" s="5">
        <v>0.82299999999999995</v>
      </c>
      <c r="E310" s="3" t="s">
        <v>14</v>
      </c>
      <c r="F310" s="5">
        <v>96.278000000000006</v>
      </c>
      <c r="G310" s="3" t="s">
        <v>33</v>
      </c>
      <c r="H310" s="3">
        <f t="shared" si="8"/>
        <v>0</v>
      </c>
      <c r="K310" s="3" t="str">
        <f t="shared" si="9"/>
        <v/>
      </c>
    </row>
    <row r="311" spans="1:11" x14ac:dyDescent="0.25">
      <c r="A311" s="3">
        <v>7</v>
      </c>
      <c r="B311" s="13">
        <v>46258.4664583333</v>
      </c>
      <c r="C311" s="3" t="s">
        <v>31</v>
      </c>
      <c r="D311" s="5">
        <v>0.88500000000000001</v>
      </c>
      <c r="E311" s="3" t="s">
        <v>14</v>
      </c>
      <c r="F311" s="5">
        <v>129.13</v>
      </c>
      <c r="G311" s="3" t="s">
        <v>31</v>
      </c>
      <c r="H311" s="3">
        <f t="shared" si="8"/>
        <v>1</v>
      </c>
      <c r="K311" s="3" t="str">
        <f t="shared" si="9"/>
        <v/>
      </c>
    </row>
    <row r="312" spans="1:11" x14ac:dyDescent="0.25">
      <c r="A312" s="3">
        <v>7</v>
      </c>
      <c r="B312" s="13">
        <v>46258.466655092598</v>
      </c>
      <c r="C312" s="3" t="s">
        <v>22</v>
      </c>
      <c r="D312" s="5">
        <v>0.84399999999999997</v>
      </c>
      <c r="E312" s="3" t="s">
        <v>14</v>
      </c>
      <c r="F312" s="5">
        <v>109.42</v>
      </c>
      <c r="G312" s="3" t="s">
        <v>22</v>
      </c>
      <c r="H312" s="3">
        <f t="shared" si="8"/>
        <v>1</v>
      </c>
      <c r="K312" s="3" t="str">
        <f t="shared" si="9"/>
        <v/>
      </c>
    </row>
    <row r="313" spans="1:11" x14ac:dyDescent="0.25">
      <c r="A313" s="3">
        <v>7</v>
      </c>
      <c r="B313" s="13">
        <v>46258.466805555603</v>
      </c>
      <c r="C313" s="3" t="s">
        <v>18</v>
      </c>
      <c r="D313" s="5">
        <v>0.89200000000000002</v>
      </c>
      <c r="E313" s="3" t="s">
        <v>14</v>
      </c>
      <c r="F313" s="5">
        <v>132.72900000000001</v>
      </c>
      <c r="G313" s="3" t="s">
        <v>18</v>
      </c>
      <c r="H313" s="3">
        <f t="shared" si="8"/>
        <v>1</v>
      </c>
      <c r="K313" s="3" t="str">
        <f t="shared" si="9"/>
        <v/>
      </c>
    </row>
    <row r="314" spans="1:11" x14ac:dyDescent="0.25">
      <c r="A314" s="3">
        <v>7</v>
      </c>
      <c r="B314" s="13">
        <v>46258.466898148101</v>
      </c>
      <c r="C314" s="3" t="s">
        <v>39</v>
      </c>
      <c r="D314" s="5">
        <v>0.91100000000000003</v>
      </c>
      <c r="E314" s="3" t="s">
        <v>14</v>
      </c>
      <c r="F314" s="5">
        <v>103.474</v>
      </c>
      <c r="G314" s="3" t="s">
        <v>39</v>
      </c>
      <c r="H314" s="3">
        <f t="shared" si="8"/>
        <v>1</v>
      </c>
      <c r="I314" s="3">
        <v>1</v>
      </c>
      <c r="J314" s="3" t="s">
        <v>39</v>
      </c>
      <c r="K314" s="3">
        <f t="shared" si="9"/>
        <v>1</v>
      </c>
    </row>
    <row r="315" spans="1:11" x14ac:dyDescent="0.25">
      <c r="A315" s="3">
        <v>7</v>
      </c>
      <c r="B315" s="13">
        <v>46258.467060185198</v>
      </c>
      <c r="C315" s="3" t="s">
        <v>37</v>
      </c>
      <c r="D315" s="5">
        <v>0.76100000000000001</v>
      </c>
      <c r="E315" s="3" t="s">
        <v>14</v>
      </c>
      <c r="F315" s="5">
        <v>143.631</v>
      </c>
      <c r="G315" s="3" t="s">
        <v>20</v>
      </c>
      <c r="H315" s="3">
        <f t="shared" si="8"/>
        <v>0</v>
      </c>
      <c r="K315" s="3" t="str">
        <f t="shared" si="9"/>
        <v/>
      </c>
    </row>
    <row r="316" spans="1:11" x14ac:dyDescent="0.25">
      <c r="A316" s="3">
        <v>7</v>
      </c>
      <c r="B316" s="13">
        <v>46258.467199074097</v>
      </c>
      <c r="C316" s="3" t="s">
        <v>25</v>
      </c>
      <c r="D316" s="5">
        <v>0.94599999999999995</v>
      </c>
      <c r="E316" s="3" t="s">
        <v>14</v>
      </c>
      <c r="F316" s="5">
        <v>94.841999999999999</v>
      </c>
      <c r="G316" s="3" t="s">
        <v>25</v>
      </c>
      <c r="H316" s="3">
        <f t="shared" si="8"/>
        <v>1</v>
      </c>
      <c r="K316" s="3" t="str">
        <f t="shared" si="9"/>
        <v/>
      </c>
    </row>
    <row r="317" spans="1:11" x14ac:dyDescent="0.25">
      <c r="A317" s="3">
        <v>7</v>
      </c>
      <c r="B317" s="13">
        <v>46258.467349537001</v>
      </c>
      <c r="C317" s="3" t="s">
        <v>39</v>
      </c>
      <c r="D317" s="5">
        <v>0.85099999999999998</v>
      </c>
      <c r="E317" s="3" t="s">
        <v>14</v>
      </c>
      <c r="F317" s="5">
        <v>139.85300000000001</v>
      </c>
      <c r="G317" s="3" t="s">
        <v>39</v>
      </c>
      <c r="H317" s="3">
        <f t="shared" si="8"/>
        <v>1</v>
      </c>
      <c r="K317" s="3" t="str">
        <f t="shared" si="9"/>
        <v/>
      </c>
    </row>
    <row r="318" spans="1:11" x14ac:dyDescent="0.25">
      <c r="A318" s="3">
        <v>7</v>
      </c>
      <c r="B318" s="13">
        <v>46258.467499999999</v>
      </c>
      <c r="C318" s="3" t="s">
        <v>38</v>
      </c>
      <c r="D318" s="5">
        <v>0.72499999999999998</v>
      </c>
      <c r="E318" s="3" t="s">
        <v>14</v>
      </c>
      <c r="F318" s="5">
        <v>150.12299999999999</v>
      </c>
      <c r="G318" s="3" t="s">
        <v>29</v>
      </c>
      <c r="H318" s="3">
        <f t="shared" si="8"/>
        <v>0</v>
      </c>
      <c r="K318" s="3" t="str">
        <f t="shared" si="9"/>
        <v/>
      </c>
    </row>
    <row r="319" spans="1:11" x14ac:dyDescent="0.25">
      <c r="A319" s="3">
        <v>7</v>
      </c>
      <c r="B319" s="13">
        <v>46258.467685185198</v>
      </c>
      <c r="C319" s="3" t="s">
        <v>24</v>
      </c>
      <c r="D319" s="5">
        <v>0.92600000000000005</v>
      </c>
      <c r="E319" s="3" t="s">
        <v>14</v>
      </c>
      <c r="F319" s="5">
        <v>160.16900000000001</v>
      </c>
      <c r="G319" s="3" t="s">
        <v>24</v>
      </c>
      <c r="H319" s="3">
        <f t="shared" si="8"/>
        <v>1</v>
      </c>
      <c r="I319" s="3">
        <v>1</v>
      </c>
      <c r="J319" s="3" t="s">
        <v>24</v>
      </c>
      <c r="K319" s="3">
        <f t="shared" si="9"/>
        <v>1</v>
      </c>
    </row>
    <row r="320" spans="1:11" x14ac:dyDescent="0.25">
      <c r="A320" s="3">
        <v>7</v>
      </c>
      <c r="B320" s="13">
        <v>46258.467870370398</v>
      </c>
      <c r="C320" s="3" t="s">
        <v>17</v>
      </c>
      <c r="D320" s="5">
        <v>0.92</v>
      </c>
      <c r="E320" s="3" t="s">
        <v>14</v>
      </c>
      <c r="F320" s="5">
        <v>114.422</v>
      </c>
      <c r="G320" s="3" t="s">
        <v>17</v>
      </c>
      <c r="H320" s="3">
        <f t="shared" si="8"/>
        <v>1</v>
      </c>
      <c r="I320" s="3">
        <v>1</v>
      </c>
      <c r="J320" s="3" t="s">
        <v>17</v>
      </c>
      <c r="K320" s="3">
        <f t="shared" si="9"/>
        <v>1</v>
      </c>
    </row>
    <row r="321" spans="1:11" x14ac:dyDescent="0.25">
      <c r="A321" s="3">
        <v>7</v>
      </c>
      <c r="B321" s="13">
        <v>46258.468148148197</v>
      </c>
      <c r="C321" s="3" t="s">
        <v>32</v>
      </c>
      <c r="D321" s="5">
        <v>0.83799999999999997</v>
      </c>
      <c r="E321" s="3" t="s">
        <v>14</v>
      </c>
      <c r="F321" s="5">
        <v>143.733</v>
      </c>
      <c r="G321" s="3" t="s">
        <v>32</v>
      </c>
      <c r="H321" s="3">
        <f t="shared" si="8"/>
        <v>1</v>
      </c>
      <c r="I321" s="3">
        <v>1</v>
      </c>
      <c r="J321" s="3" t="s">
        <v>32</v>
      </c>
      <c r="K321" s="3">
        <f t="shared" si="9"/>
        <v>1</v>
      </c>
    </row>
    <row r="322" spans="1:11" x14ac:dyDescent="0.25">
      <c r="A322" s="3">
        <v>7</v>
      </c>
      <c r="B322" s="13">
        <v>46258.468287037002</v>
      </c>
      <c r="C322" s="3" t="s">
        <v>19</v>
      </c>
      <c r="D322" s="5">
        <v>0.86499999999999999</v>
      </c>
      <c r="E322" s="3" t="s">
        <v>14</v>
      </c>
      <c r="F322" s="5">
        <v>132.078</v>
      </c>
      <c r="G322" s="3" t="s">
        <v>19</v>
      </c>
      <c r="H322" s="3">
        <f t="shared" ref="H322:H385" si="10">IF(C322=G322,1,0)</f>
        <v>1</v>
      </c>
      <c r="K322" s="3" t="str">
        <f t="shared" ref="K322:K385" si="11">IF(J322="","",IF(J322=G322,1,0))</f>
        <v/>
      </c>
    </row>
    <row r="323" spans="1:11" x14ac:dyDescent="0.25">
      <c r="A323" s="3">
        <v>8</v>
      </c>
      <c r="B323" s="13">
        <v>46258.4715393519</v>
      </c>
      <c r="C323" s="3" t="s">
        <v>19</v>
      </c>
      <c r="D323" s="5">
        <v>0.85399999999999998</v>
      </c>
      <c r="E323" s="3" t="s">
        <v>14</v>
      </c>
      <c r="F323" s="5">
        <v>117.282</v>
      </c>
      <c r="G323" s="3" t="s">
        <v>19</v>
      </c>
      <c r="H323" s="3">
        <f t="shared" si="10"/>
        <v>1</v>
      </c>
      <c r="K323" s="3" t="str">
        <f t="shared" si="11"/>
        <v/>
      </c>
    </row>
    <row r="324" spans="1:11" x14ac:dyDescent="0.25">
      <c r="A324" s="3">
        <v>8</v>
      </c>
      <c r="B324" s="13">
        <v>46258.471712963001</v>
      </c>
      <c r="C324" s="3" t="s">
        <v>37</v>
      </c>
      <c r="D324" s="5">
        <v>0.84299999999999997</v>
      </c>
      <c r="E324" s="3" t="s">
        <v>14</v>
      </c>
      <c r="F324" s="5">
        <v>116.71</v>
      </c>
      <c r="G324" s="3" t="s">
        <v>37</v>
      </c>
      <c r="H324" s="3">
        <f t="shared" si="10"/>
        <v>1</v>
      </c>
      <c r="K324" s="3" t="str">
        <f t="shared" si="11"/>
        <v/>
      </c>
    </row>
    <row r="325" spans="1:11" x14ac:dyDescent="0.25">
      <c r="A325" s="3">
        <v>8</v>
      </c>
      <c r="B325" s="13">
        <v>46258.471840277802</v>
      </c>
      <c r="C325" s="3" t="s">
        <v>31</v>
      </c>
      <c r="D325" s="5">
        <v>0.83699999999999997</v>
      </c>
      <c r="E325" s="3" t="s">
        <v>14</v>
      </c>
      <c r="F325" s="5">
        <v>96.332999999999998</v>
      </c>
      <c r="G325" s="3" t="s">
        <v>31</v>
      </c>
      <c r="H325" s="3">
        <f t="shared" si="10"/>
        <v>1</v>
      </c>
      <c r="K325" s="3" t="str">
        <f t="shared" si="11"/>
        <v/>
      </c>
    </row>
    <row r="326" spans="1:11" x14ac:dyDescent="0.25">
      <c r="A326" s="3">
        <v>8</v>
      </c>
      <c r="B326" s="13">
        <v>46258.472002314797</v>
      </c>
      <c r="C326" s="3" t="s">
        <v>24</v>
      </c>
      <c r="D326" s="5">
        <v>0.89300000000000002</v>
      </c>
      <c r="E326" s="3" t="s">
        <v>14</v>
      </c>
      <c r="F326" s="5">
        <v>107.759</v>
      </c>
      <c r="G326" s="3" t="s">
        <v>24</v>
      </c>
      <c r="H326" s="3">
        <f t="shared" si="10"/>
        <v>1</v>
      </c>
      <c r="K326" s="3" t="str">
        <f t="shared" si="11"/>
        <v/>
      </c>
    </row>
    <row r="327" spans="1:11" x14ac:dyDescent="0.25">
      <c r="A327" s="3">
        <v>8</v>
      </c>
      <c r="B327" s="13">
        <v>46258.472164351901</v>
      </c>
      <c r="C327" s="3" t="s">
        <v>33</v>
      </c>
      <c r="D327" s="5">
        <v>0.93</v>
      </c>
      <c r="E327" s="3" t="s">
        <v>14</v>
      </c>
      <c r="F327" s="5">
        <v>125.01</v>
      </c>
      <c r="G327" s="3" t="s">
        <v>33</v>
      </c>
      <c r="H327" s="3">
        <f t="shared" si="10"/>
        <v>1</v>
      </c>
      <c r="K327" s="3" t="str">
        <f t="shared" si="11"/>
        <v/>
      </c>
    </row>
    <row r="328" spans="1:11" x14ac:dyDescent="0.25">
      <c r="A328" s="3">
        <v>8</v>
      </c>
      <c r="B328" s="13">
        <v>46258.472303240698</v>
      </c>
      <c r="C328" s="3" t="s">
        <v>34</v>
      </c>
      <c r="D328" s="5">
        <v>0.81399999999999995</v>
      </c>
      <c r="E328" s="3" t="s">
        <v>14</v>
      </c>
      <c r="F328" s="5">
        <v>85</v>
      </c>
      <c r="G328" s="3" t="s">
        <v>34</v>
      </c>
      <c r="H328" s="3">
        <f t="shared" si="10"/>
        <v>1</v>
      </c>
      <c r="I328" s="3">
        <v>1</v>
      </c>
      <c r="J328" s="3" t="s">
        <v>34</v>
      </c>
      <c r="K328" s="3">
        <f t="shared" si="11"/>
        <v>1</v>
      </c>
    </row>
    <row r="329" spans="1:11" x14ac:dyDescent="0.25">
      <c r="A329" s="3">
        <v>8</v>
      </c>
      <c r="B329" s="13">
        <v>46258.472407407397</v>
      </c>
      <c r="C329" s="3" t="s">
        <v>16</v>
      </c>
      <c r="D329" s="5">
        <v>0.82599999999999996</v>
      </c>
      <c r="E329" s="3" t="s">
        <v>14</v>
      </c>
      <c r="F329" s="5">
        <v>113.589</v>
      </c>
      <c r="G329" s="3" t="s">
        <v>16</v>
      </c>
      <c r="H329" s="3">
        <f t="shared" si="10"/>
        <v>1</v>
      </c>
      <c r="K329" s="3" t="str">
        <f t="shared" si="11"/>
        <v/>
      </c>
    </row>
    <row r="330" spans="1:11" x14ac:dyDescent="0.25">
      <c r="A330" s="3">
        <v>8</v>
      </c>
      <c r="B330" s="13">
        <v>46258.472638888903</v>
      </c>
      <c r="C330" s="3" t="s">
        <v>25</v>
      </c>
      <c r="D330" s="5">
        <v>0.76500000000000001</v>
      </c>
      <c r="E330" s="3" t="s">
        <v>14</v>
      </c>
      <c r="F330" s="5">
        <v>89.396000000000001</v>
      </c>
      <c r="G330" s="3" t="s">
        <v>36</v>
      </c>
      <c r="H330" s="3">
        <f t="shared" si="10"/>
        <v>0</v>
      </c>
      <c r="K330" s="3" t="str">
        <f t="shared" si="11"/>
        <v/>
      </c>
    </row>
    <row r="331" spans="1:11" x14ac:dyDescent="0.25">
      <c r="A331" s="3">
        <v>8</v>
      </c>
      <c r="B331" s="13">
        <v>46258.472766203697</v>
      </c>
      <c r="C331" s="3" t="s">
        <v>36</v>
      </c>
      <c r="D331" s="5">
        <v>0.80600000000000005</v>
      </c>
      <c r="E331" s="3" t="s">
        <v>14</v>
      </c>
      <c r="F331" s="5">
        <v>88.647999999999996</v>
      </c>
      <c r="G331" s="3" t="s">
        <v>25</v>
      </c>
      <c r="H331" s="3">
        <f t="shared" si="10"/>
        <v>0</v>
      </c>
      <c r="I331" s="3">
        <v>1</v>
      </c>
      <c r="J331" s="3" t="s">
        <v>36</v>
      </c>
      <c r="K331" s="3">
        <f t="shared" si="11"/>
        <v>0</v>
      </c>
    </row>
    <row r="332" spans="1:11" x14ac:dyDescent="0.25">
      <c r="A332" s="3">
        <v>8</v>
      </c>
      <c r="B332" s="13">
        <v>46258.472905092603</v>
      </c>
      <c r="C332" s="3" t="s">
        <v>32</v>
      </c>
      <c r="D332" s="5">
        <v>0.83399999999999996</v>
      </c>
      <c r="E332" s="3" t="s">
        <v>14</v>
      </c>
      <c r="F332" s="5">
        <v>107.298</v>
      </c>
      <c r="G332" s="3" t="s">
        <v>32</v>
      </c>
      <c r="H332" s="3">
        <f t="shared" si="10"/>
        <v>1</v>
      </c>
      <c r="K332" s="3" t="str">
        <f t="shared" si="11"/>
        <v/>
      </c>
    </row>
    <row r="333" spans="1:11" x14ac:dyDescent="0.25">
      <c r="A333" s="3">
        <v>8</v>
      </c>
      <c r="B333" s="13">
        <v>46258.473009259302</v>
      </c>
      <c r="C333" s="3" t="s">
        <v>18</v>
      </c>
      <c r="D333" s="5">
        <v>0.90700000000000003</v>
      </c>
      <c r="E333" s="3" t="s">
        <v>14</v>
      </c>
      <c r="F333" s="5">
        <v>92.638999999999996</v>
      </c>
      <c r="G333" s="3" t="s">
        <v>18</v>
      </c>
      <c r="H333" s="3">
        <f t="shared" si="10"/>
        <v>1</v>
      </c>
      <c r="I333" s="3">
        <v>1</v>
      </c>
      <c r="J333" s="3" t="s">
        <v>18</v>
      </c>
      <c r="K333" s="3">
        <f t="shared" si="11"/>
        <v>1</v>
      </c>
    </row>
    <row r="334" spans="1:11" x14ac:dyDescent="0.25">
      <c r="A334" s="3">
        <v>8</v>
      </c>
      <c r="B334" s="13">
        <v>46258.473182870403</v>
      </c>
      <c r="C334" s="3" t="s">
        <v>29</v>
      </c>
      <c r="D334" s="5">
        <v>0.81699999999999995</v>
      </c>
      <c r="E334" s="3" t="s">
        <v>14</v>
      </c>
      <c r="F334" s="5">
        <v>143.971</v>
      </c>
      <c r="G334" s="3" t="s">
        <v>29</v>
      </c>
      <c r="H334" s="3">
        <f t="shared" si="10"/>
        <v>1</v>
      </c>
      <c r="I334" s="3">
        <v>1</v>
      </c>
      <c r="J334" s="3" t="s">
        <v>29</v>
      </c>
      <c r="K334" s="3">
        <f t="shared" si="11"/>
        <v>1</v>
      </c>
    </row>
    <row r="335" spans="1:11" x14ac:dyDescent="0.25">
      <c r="A335" s="3">
        <v>8</v>
      </c>
      <c r="B335" s="13">
        <v>46258.473263888904</v>
      </c>
      <c r="C335" s="3" t="s">
        <v>28</v>
      </c>
      <c r="D335" s="5">
        <v>0.86799999999999999</v>
      </c>
      <c r="E335" s="3" t="s">
        <v>14</v>
      </c>
      <c r="F335" s="5">
        <v>129.208</v>
      </c>
      <c r="G335" s="3" t="s">
        <v>28</v>
      </c>
      <c r="H335" s="3">
        <f t="shared" si="10"/>
        <v>1</v>
      </c>
      <c r="I335" s="3">
        <v>1</v>
      </c>
      <c r="J335" s="3" t="s">
        <v>28</v>
      </c>
      <c r="K335" s="3">
        <f t="shared" si="11"/>
        <v>1</v>
      </c>
    </row>
    <row r="336" spans="1:11" x14ac:dyDescent="0.25">
      <c r="A336" s="3">
        <v>8</v>
      </c>
      <c r="B336" s="13">
        <v>46258.473449074103</v>
      </c>
      <c r="C336" s="3" t="s">
        <v>17</v>
      </c>
      <c r="D336" s="5">
        <v>0.81899999999999995</v>
      </c>
      <c r="E336" s="3" t="s">
        <v>14</v>
      </c>
      <c r="F336" s="5">
        <v>107.395</v>
      </c>
      <c r="G336" s="3" t="s">
        <v>17</v>
      </c>
      <c r="H336" s="3">
        <f t="shared" si="10"/>
        <v>1</v>
      </c>
      <c r="K336" s="3" t="str">
        <f t="shared" si="11"/>
        <v/>
      </c>
    </row>
    <row r="337" spans="1:11" x14ac:dyDescent="0.25">
      <c r="A337" s="3">
        <v>8</v>
      </c>
      <c r="B337" s="13">
        <v>46258.473738425899</v>
      </c>
      <c r="C337" s="3" t="s">
        <v>23</v>
      </c>
      <c r="D337" s="5">
        <v>0.88400000000000001</v>
      </c>
      <c r="E337" s="3" t="s">
        <v>14</v>
      </c>
      <c r="F337" s="5">
        <v>110.381</v>
      </c>
      <c r="G337" s="3" t="s">
        <v>23</v>
      </c>
      <c r="H337" s="3">
        <f t="shared" si="10"/>
        <v>1</v>
      </c>
      <c r="I337" s="3">
        <v>1</v>
      </c>
      <c r="J337" s="3" t="s">
        <v>23</v>
      </c>
      <c r="K337" s="3">
        <f t="shared" si="11"/>
        <v>1</v>
      </c>
    </row>
    <row r="338" spans="1:11" x14ac:dyDescent="0.25">
      <c r="A338" s="3">
        <v>8</v>
      </c>
      <c r="B338" s="13">
        <v>46258.473900463003</v>
      </c>
      <c r="C338" s="3" t="s">
        <v>20</v>
      </c>
      <c r="D338" s="5">
        <v>0.80500000000000005</v>
      </c>
      <c r="E338" s="3" t="s">
        <v>12</v>
      </c>
      <c r="F338" s="5">
        <v>146.12299999999999</v>
      </c>
      <c r="G338" s="3" t="s">
        <v>20</v>
      </c>
      <c r="H338" s="3">
        <f t="shared" si="10"/>
        <v>1</v>
      </c>
      <c r="K338" s="3" t="str">
        <f t="shared" si="11"/>
        <v/>
      </c>
    </row>
    <row r="339" spans="1:11" x14ac:dyDescent="0.25">
      <c r="A339" s="3">
        <v>8</v>
      </c>
      <c r="B339" s="13">
        <v>46258.474039351902</v>
      </c>
      <c r="C339" s="3" t="s">
        <v>27</v>
      </c>
      <c r="D339" s="5">
        <v>0.93400000000000005</v>
      </c>
      <c r="E339" s="3" t="s">
        <v>12</v>
      </c>
      <c r="F339" s="5">
        <v>108.78700000000001</v>
      </c>
      <c r="G339" s="3" t="s">
        <v>27</v>
      </c>
      <c r="H339" s="3">
        <f t="shared" si="10"/>
        <v>1</v>
      </c>
      <c r="I339" s="3">
        <v>1</v>
      </c>
      <c r="J339" s="3" t="s">
        <v>27</v>
      </c>
      <c r="K339" s="3">
        <f t="shared" si="11"/>
        <v>1</v>
      </c>
    </row>
    <row r="340" spans="1:11" x14ac:dyDescent="0.25">
      <c r="A340" s="3">
        <v>8</v>
      </c>
      <c r="B340" s="13">
        <v>46258.474212963003</v>
      </c>
      <c r="C340" s="3" t="s">
        <v>35</v>
      </c>
      <c r="D340" s="5">
        <v>0.79</v>
      </c>
      <c r="E340" s="3" t="s">
        <v>14</v>
      </c>
      <c r="F340" s="5">
        <v>102.15300000000001</v>
      </c>
      <c r="G340" s="3" t="s">
        <v>35</v>
      </c>
      <c r="H340" s="3">
        <f t="shared" si="10"/>
        <v>1</v>
      </c>
      <c r="K340" s="3" t="str">
        <f t="shared" si="11"/>
        <v/>
      </c>
    </row>
    <row r="341" spans="1:11" x14ac:dyDescent="0.25">
      <c r="A341" s="3">
        <v>8</v>
      </c>
      <c r="B341" s="13">
        <v>46258.474351851903</v>
      </c>
      <c r="C341" s="3" t="s">
        <v>21</v>
      </c>
      <c r="D341" s="5">
        <v>0.85799999999999998</v>
      </c>
      <c r="E341" s="3" t="s">
        <v>14</v>
      </c>
      <c r="F341" s="5">
        <v>129.99799999999999</v>
      </c>
      <c r="G341" s="3" t="s">
        <v>21</v>
      </c>
      <c r="H341" s="3">
        <f t="shared" si="10"/>
        <v>1</v>
      </c>
      <c r="K341" s="3" t="str">
        <f t="shared" si="11"/>
        <v/>
      </c>
    </row>
    <row r="342" spans="1:11" x14ac:dyDescent="0.25">
      <c r="A342" s="3">
        <v>8</v>
      </c>
      <c r="B342" s="13">
        <v>46258.474479166704</v>
      </c>
      <c r="C342" s="3" t="s">
        <v>30</v>
      </c>
      <c r="D342" s="5">
        <v>0.82699999999999996</v>
      </c>
      <c r="E342" s="3" t="s">
        <v>14</v>
      </c>
      <c r="F342" s="5">
        <v>85.846999999999994</v>
      </c>
      <c r="G342" s="3" t="s">
        <v>30</v>
      </c>
      <c r="H342" s="3">
        <f t="shared" si="10"/>
        <v>1</v>
      </c>
      <c r="K342" s="3" t="str">
        <f t="shared" si="11"/>
        <v/>
      </c>
    </row>
    <row r="343" spans="1:11" x14ac:dyDescent="0.25">
      <c r="A343" s="3">
        <v>8</v>
      </c>
      <c r="B343" s="13">
        <v>46258.474618055603</v>
      </c>
      <c r="C343" s="3" t="s">
        <v>18</v>
      </c>
      <c r="D343" s="5">
        <v>0.77100000000000002</v>
      </c>
      <c r="E343" s="3" t="s">
        <v>14</v>
      </c>
      <c r="F343" s="5">
        <v>137.53200000000001</v>
      </c>
      <c r="G343" s="3" t="s">
        <v>25</v>
      </c>
      <c r="H343" s="3">
        <f t="shared" si="10"/>
        <v>0</v>
      </c>
      <c r="K343" s="3" t="str">
        <f t="shared" si="11"/>
        <v/>
      </c>
    </row>
    <row r="344" spans="1:11" x14ac:dyDescent="0.25">
      <c r="A344" s="3">
        <v>8</v>
      </c>
      <c r="B344" s="13">
        <v>46258.474745370397</v>
      </c>
      <c r="C344" s="3" t="s">
        <v>35</v>
      </c>
      <c r="D344" s="5">
        <v>0.92500000000000004</v>
      </c>
      <c r="E344" s="3" t="s">
        <v>14</v>
      </c>
      <c r="F344" s="5">
        <v>120.578</v>
      </c>
      <c r="G344" s="3" t="s">
        <v>35</v>
      </c>
      <c r="H344" s="3">
        <f t="shared" si="10"/>
        <v>1</v>
      </c>
      <c r="K344" s="3" t="str">
        <f t="shared" si="11"/>
        <v/>
      </c>
    </row>
    <row r="345" spans="1:11" x14ac:dyDescent="0.25">
      <c r="A345" s="3">
        <v>8</v>
      </c>
      <c r="B345" s="13">
        <v>46258.474999999999</v>
      </c>
      <c r="C345" s="3" t="s">
        <v>24</v>
      </c>
      <c r="D345" s="5">
        <v>0.78500000000000003</v>
      </c>
      <c r="E345" s="3" t="s">
        <v>14</v>
      </c>
      <c r="F345" s="5">
        <v>124.54900000000001</v>
      </c>
      <c r="G345" s="3" t="s">
        <v>24</v>
      </c>
      <c r="H345" s="3">
        <f t="shared" si="10"/>
        <v>1</v>
      </c>
      <c r="I345" s="3">
        <v>1</v>
      </c>
      <c r="J345" s="3" t="s">
        <v>24</v>
      </c>
      <c r="K345" s="3">
        <f t="shared" si="11"/>
        <v>1</v>
      </c>
    </row>
    <row r="346" spans="1:11" x14ac:dyDescent="0.25">
      <c r="A346" s="3">
        <v>8</v>
      </c>
      <c r="B346" s="13">
        <v>46258.475138888898</v>
      </c>
      <c r="C346" s="3" t="s">
        <v>33</v>
      </c>
      <c r="D346" s="5">
        <v>0.872</v>
      </c>
      <c r="E346" s="3" t="s">
        <v>14</v>
      </c>
      <c r="F346" s="5">
        <v>114.502</v>
      </c>
      <c r="G346" s="3" t="s">
        <v>33</v>
      </c>
      <c r="H346" s="3">
        <f t="shared" si="10"/>
        <v>1</v>
      </c>
      <c r="I346" s="3">
        <v>1</v>
      </c>
      <c r="J346" s="3" t="s">
        <v>33</v>
      </c>
      <c r="K346" s="3">
        <f t="shared" si="11"/>
        <v>1</v>
      </c>
    </row>
    <row r="347" spans="1:11" x14ac:dyDescent="0.25">
      <c r="A347" s="3">
        <v>8</v>
      </c>
      <c r="B347" s="13">
        <v>46258.475312499999</v>
      </c>
      <c r="C347" s="3" t="s">
        <v>34</v>
      </c>
      <c r="D347" s="5">
        <v>0.93300000000000005</v>
      </c>
      <c r="E347" s="3" t="s">
        <v>14</v>
      </c>
      <c r="F347" s="5">
        <v>85</v>
      </c>
      <c r="G347" s="3" t="s">
        <v>34</v>
      </c>
      <c r="H347" s="3">
        <f t="shared" si="10"/>
        <v>1</v>
      </c>
      <c r="K347" s="3" t="str">
        <f t="shared" si="11"/>
        <v/>
      </c>
    </row>
    <row r="348" spans="1:11" x14ac:dyDescent="0.25">
      <c r="A348" s="3">
        <v>8</v>
      </c>
      <c r="B348" s="13">
        <v>46258.475462962997</v>
      </c>
      <c r="C348" s="3" t="s">
        <v>30</v>
      </c>
      <c r="D348" s="5">
        <v>0.78100000000000003</v>
      </c>
      <c r="E348" s="3" t="s">
        <v>14</v>
      </c>
      <c r="F348" s="5">
        <v>142.886</v>
      </c>
      <c r="G348" s="3" t="s">
        <v>21</v>
      </c>
      <c r="H348" s="3">
        <f t="shared" si="10"/>
        <v>0</v>
      </c>
      <c r="K348" s="3" t="str">
        <f t="shared" si="11"/>
        <v/>
      </c>
    </row>
    <row r="349" spans="1:11" x14ac:dyDescent="0.25">
      <c r="A349" s="3">
        <v>8</v>
      </c>
      <c r="B349" s="13">
        <v>46258.4756597222</v>
      </c>
      <c r="C349" s="3" t="s">
        <v>36</v>
      </c>
      <c r="D349" s="5">
        <v>0.76800000000000002</v>
      </c>
      <c r="E349" s="3" t="s">
        <v>14</v>
      </c>
      <c r="F349" s="5">
        <v>124.47199999999999</v>
      </c>
      <c r="G349" s="3" t="s">
        <v>36</v>
      </c>
      <c r="H349" s="3">
        <f t="shared" si="10"/>
        <v>1</v>
      </c>
      <c r="I349" s="3">
        <v>1</v>
      </c>
      <c r="J349" s="3" t="s">
        <v>36</v>
      </c>
      <c r="K349" s="3">
        <f t="shared" si="11"/>
        <v>1</v>
      </c>
    </row>
    <row r="350" spans="1:11" x14ac:dyDescent="0.25">
      <c r="A350" s="3">
        <v>8</v>
      </c>
      <c r="B350" s="13">
        <v>46258.475810185198</v>
      </c>
      <c r="C350" s="3" t="s">
        <v>39</v>
      </c>
      <c r="D350" s="5">
        <v>0.81399999999999995</v>
      </c>
      <c r="E350" s="3" t="s">
        <v>14</v>
      </c>
      <c r="F350" s="5">
        <v>106.84699999999999</v>
      </c>
      <c r="G350" s="3" t="s">
        <v>19</v>
      </c>
      <c r="H350" s="3">
        <f t="shared" si="10"/>
        <v>0</v>
      </c>
      <c r="K350" s="3" t="str">
        <f t="shared" si="11"/>
        <v/>
      </c>
    </row>
    <row r="351" spans="1:11" x14ac:dyDescent="0.25">
      <c r="A351" s="3">
        <v>8</v>
      </c>
      <c r="B351" s="13">
        <v>46258.475925925901</v>
      </c>
      <c r="C351" s="3" t="s">
        <v>36</v>
      </c>
      <c r="D351" s="5">
        <v>0.86499999999999999</v>
      </c>
      <c r="E351" s="3" t="s">
        <v>14</v>
      </c>
      <c r="F351" s="5">
        <v>85</v>
      </c>
      <c r="G351" s="3" t="s">
        <v>36</v>
      </c>
      <c r="H351" s="3">
        <f t="shared" si="10"/>
        <v>1</v>
      </c>
      <c r="I351" s="3">
        <v>1</v>
      </c>
      <c r="J351" s="3" t="s">
        <v>36</v>
      </c>
      <c r="K351" s="3">
        <f t="shared" si="11"/>
        <v>1</v>
      </c>
    </row>
    <row r="352" spans="1:11" x14ac:dyDescent="0.25">
      <c r="A352" s="3">
        <v>8</v>
      </c>
      <c r="B352" s="13">
        <v>46258.476053240702</v>
      </c>
      <c r="C352" s="3" t="s">
        <v>23</v>
      </c>
      <c r="D352" s="5">
        <v>0.92300000000000004</v>
      </c>
      <c r="E352" s="3" t="s">
        <v>14</v>
      </c>
      <c r="F352" s="5">
        <v>110.06</v>
      </c>
      <c r="G352" s="3" t="s">
        <v>23</v>
      </c>
      <c r="H352" s="3">
        <f t="shared" si="10"/>
        <v>1</v>
      </c>
      <c r="I352" s="3">
        <v>1</v>
      </c>
      <c r="J352" s="3" t="s">
        <v>23</v>
      </c>
      <c r="K352" s="3">
        <f t="shared" si="11"/>
        <v>1</v>
      </c>
    </row>
    <row r="353" spans="1:11" x14ac:dyDescent="0.25">
      <c r="A353" s="3">
        <v>8</v>
      </c>
      <c r="B353" s="13">
        <v>46258.476180555597</v>
      </c>
      <c r="C353" s="3" t="s">
        <v>18</v>
      </c>
      <c r="D353" s="5">
        <v>0.65500000000000003</v>
      </c>
      <c r="E353" s="3" t="s">
        <v>14</v>
      </c>
      <c r="F353" s="5">
        <v>89.096999999999994</v>
      </c>
      <c r="G353" s="3" t="s">
        <v>25</v>
      </c>
      <c r="H353" s="3">
        <f t="shared" si="10"/>
        <v>0</v>
      </c>
      <c r="K353" s="3" t="str">
        <f t="shared" si="11"/>
        <v/>
      </c>
    </row>
    <row r="354" spans="1:11" x14ac:dyDescent="0.25">
      <c r="A354" s="3">
        <v>8</v>
      </c>
      <c r="B354" s="13">
        <v>46258.476331018501</v>
      </c>
      <c r="C354" s="3" t="s">
        <v>29</v>
      </c>
      <c r="D354" s="5">
        <v>0.95599999999999996</v>
      </c>
      <c r="E354" s="3" t="s">
        <v>14</v>
      </c>
      <c r="F354" s="5">
        <v>138.405</v>
      </c>
      <c r="G354" s="3" t="s">
        <v>29</v>
      </c>
      <c r="H354" s="3">
        <f t="shared" si="10"/>
        <v>1</v>
      </c>
      <c r="K354" s="3" t="str">
        <f t="shared" si="11"/>
        <v/>
      </c>
    </row>
    <row r="355" spans="1:11" x14ac:dyDescent="0.25">
      <c r="A355" s="3">
        <v>8</v>
      </c>
      <c r="B355" s="13">
        <v>46258.476446759298</v>
      </c>
      <c r="C355" s="3" t="s">
        <v>20</v>
      </c>
      <c r="D355" s="5">
        <v>0.82</v>
      </c>
      <c r="E355" s="3" t="s">
        <v>12</v>
      </c>
      <c r="F355" s="5">
        <v>141.54300000000001</v>
      </c>
      <c r="G355" s="3" t="s">
        <v>20</v>
      </c>
      <c r="H355" s="3">
        <f t="shared" si="10"/>
        <v>1</v>
      </c>
      <c r="I355" s="3">
        <v>1</v>
      </c>
      <c r="J355" s="3" t="s">
        <v>20</v>
      </c>
      <c r="K355" s="3">
        <f t="shared" si="11"/>
        <v>1</v>
      </c>
    </row>
    <row r="356" spans="1:11" x14ac:dyDescent="0.25">
      <c r="A356" s="3">
        <v>8</v>
      </c>
      <c r="B356" s="13">
        <v>46258.476678240702</v>
      </c>
      <c r="C356" s="3" t="s">
        <v>36</v>
      </c>
      <c r="D356" s="5">
        <v>0.95</v>
      </c>
      <c r="E356" s="3" t="s">
        <v>14</v>
      </c>
      <c r="F356" s="5">
        <v>105.791</v>
      </c>
      <c r="G356" s="3" t="s">
        <v>36</v>
      </c>
      <c r="H356" s="3">
        <f t="shared" si="10"/>
        <v>1</v>
      </c>
      <c r="K356" s="3" t="str">
        <f t="shared" si="11"/>
        <v/>
      </c>
    </row>
    <row r="357" spans="1:11" x14ac:dyDescent="0.25">
      <c r="A357" s="3">
        <v>8</v>
      </c>
      <c r="B357" s="13">
        <v>46258.476770833302</v>
      </c>
      <c r="C357" s="3" t="s">
        <v>16</v>
      </c>
      <c r="D357" s="5">
        <v>0.76500000000000001</v>
      </c>
      <c r="E357" s="3" t="s">
        <v>14</v>
      </c>
      <c r="F357" s="5">
        <v>98.442999999999998</v>
      </c>
      <c r="G357" s="3" t="s">
        <v>16</v>
      </c>
      <c r="H357" s="3">
        <f t="shared" si="10"/>
        <v>1</v>
      </c>
      <c r="K357" s="3" t="str">
        <f t="shared" si="11"/>
        <v/>
      </c>
    </row>
    <row r="358" spans="1:11" x14ac:dyDescent="0.25">
      <c r="A358" s="3">
        <v>8</v>
      </c>
      <c r="B358" s="13">
        <v>46258.476956018501</v>
      </c>
      <c r="C358" s="3" t="s">
        <v>28</v>
      </c>
      <c r="D358" s="5">
        <v>0.97899999999999998</v>
      </c>
      <c r="E358" s="3" t="s">
        <v>14</v>
      </c>
      <c r="F358" s="5">
        <v>92.900999999999996</v>
      </c>
      <c r="G358" s="3" t="s">
        <v>28</v>
      </c>
      <c r="H358" s="3">
        <f t="shared" si="10"/>
        <v>1</v>
      </c>
      <c r="K358" s="3" t="str">
        <f t="shared" si="11"/>
        <v/>
      </c>
    </row>
    <row r="359" spans="1:11" x14ac:dyDescent="0.25">
      <c r="A359" s="3">
        <v>8</v>
      </c>
      <c r="B359" s="13">
        <v>46258.4771064815</v>
      </c>
      <c r="C359" s="3" t="s">
        <v>17</v>
      </c>
      <c r="D359" s="5">
        <v>0.71099999999999997</v>
      </c>
      <c r="E359" s="3" t="s">
        <v>14</v>
      </c>
      <c r="F359" s="5">
        <v>105.834</v>
      </c>
      <c r="G359" s="3" t="s">
        <v>17</v>
      </c>
      <c r="H359" s="3">
        <f t="shared" si="10"/>
        <v>1</v>
      </c>
      <c r="K359" s="3" t="str">
        <f t="shared" si="11"/>
        <v/>
      </c>
    </row>
    <row r="360" spans="1:11" x14ac:dyDescent="0.25">
      <c r="A360" s="3">
        <v>8</v>
      </c>
      <c r="B360" s="13">
        <v>46258.477268518502</v>
      </c>
      <c r="C360" s="3" t="s">
        <v>35</v>
      </c>
      <c r="D360" s="5">
        <v>0.879</v>
      </c>
      <c r="E360" s="3" t="s">
        <v>14</v>
      </c>
      <c r="F360" s="5">
        <v>124.52800000000001</v>
      </c>
      <c r="G360" s="3" t="s">
        <v>35</v>
      </c>
      <c r="H360" s="3">
        <f t="shared" si="10"/>
        <v>1</v>
      </c>
      <c r="K360" s="3" t="str">
        <f t="shared" si="11"/>
        <v/>
      </c>
    </row>
    <row r="361" spans="1:11" x14ac:dyDescent="0.25">
      <c r="A361" s="3">
        <v>8</v>
      </c>
      <c r="B361" s="13">
        <v>46258.477534722202</v>
      </c>
      <c r="C361" s="3" t="s">
        <v>16</v>
      </c>
      <c r="D361" s="5">
        <v>0.91200000000000003</v>
      </c>
      <c r="E361" s="3" t="s">
        <v>14</v>
      </c>
      <c r="F361" s="5">
        <v>98.507000000000005</v>
      </c>
      <c r="G361" s="3" t="s">
        <v>16</v>
      </c>
      <c r="H361" s="3">
        <f t="shared" si="10"/>
        <v>1</v>
      </c>
      <c r="K361" s="3" t="str">
        <f t="shared" si="11"/>
        <v/>
      </c>
    </row>
    <row r="362" spans="1:11" x14ac:dyDescent="0.25">
      <c r="A362" s="3">
        <v>8</v>
      </c>
      <c r="B362" s="13">
        <v>46258.4777777778</v>
      </c>
      <c r="C362" s="3" t="s">
        <v>24</v>
      </c>
      <c r="D362" s="5">
        <v>0.71899999999999997</v>
      </c>
      <c r="E362" s="3" t="s">
        <v>14</v>
      </c>
      <c r="F362" s="5">
        <v>119.86</v>
      </c>
      <c r="G362" s="3" t="s">
        <v>21</v>
      </c>
      <c r="H362" s="3">
        <f t="shared" si="10"/>
        <v>0</v>
      </c>
      <c r="K362" s="3" t="str">
        <f t="shared" si="11"/>
        <v/>
      </c>
    </row>
    <row r="363" spans="1:11" x14ac:dyDescent="0.25">
      <c r="A363" s="3">
        <v>8</v>
      </c>
      <c r="B363" s="13">
        <v>46258.477951388901</v>
      </c>
      <c r="C363" s="3" t="s">
        <v>31</v>
      </c>
      <c r="D363" s="5">
        <v>0.872</v>
      </c>
      <c r="E363" s="3" t="s">
        <v>14</v>
      </c>
      <c r="F363" s="5">
        <v>85</v>
      </c>
      <c r="G363" s="3" t="s">
        <v>31</v>
      </c>
      <c r="H363" s="3">
        <f t="shared" si="10"/>
        <v>1</v>
      </c>
      <c r="I363" s="3">
        <v>1</v>
      </c>
      <c r="J363" s="3" t="s">
        <v>31</v>
      </c>
      <c r="K363" s="3">
        <f t="shared" si="11"/>
        <v>1</v>
      </c>
    </row>
    <row r="364" spans="1:11" x14ac:dyDescent="0.25">
      <c r="A364" s="3">
        <v>8</v>
      </c>
      <c r="B364" s="13">
        <v>46258.478148148199</v>
      </c>
      <c r="C364" s="3" t="s">
        <v>33</v>
      </c>
      <c r="D364" s="5">
        <v>0.83799999999999997</v>
      </c>
      <c r="E364" s="3" t="s">
        <v>14</v>
      </c>
      <c r="F364" s="5">
        <v>120.05800000000001</v>
      </c>
      <c r="G364" s="3" t="s">
        <v>33</v>
      </c>
      <c r="H364" s="3">
        <f t="shared" si="10"/>
        <v>1</v>
      </c>
      <c r="I364" s="3">
        <v>1</v>
      </c>
      <c r="J364" s="3" t="s">
        <v>33</v>
      </c>
      <c r="K364" s="3">
        <f t="shared" si="11"/>
        <v>1</v>
      </c>
    </row>
    <row r="365" spans="1:11" x14ac:dyDescent="0.25">
      <c r="A365" s="3">
        <v>9</v>
      </c>
      <c r="B365" s="13">
        <v>46258.482650462996</v>
      </c>
      <c r="C365" s="3" t="s">
        <v>31</v>
      </c>
      <c r="D365" s="5">
        <v>0.87</v>
      </c>
      <c r="E365" s="3" t="s">
        <v>14</v>
      </c>
      <c r="F365" s="5">
        <v>140.928</v>
      </c>
      <c r="G365" s="3" t="s">
        <v>31</v>
      </c>
      <c r="H365" s="3">
        <f t="shared" si="10"/>
        <v>1</v>
      </c>
      <c r="K365" s="3" t="str">
        <f t="shared" si="11"/>
        <v/>
      </c>
    </row>
    <row r="366" spans="1:11" x14ac:dyDescent="0.25">
      <c r="A366" s="3">
        <v>9</v>
      </c>
      <c r="B366" s="13">
        <v>46258.482951388898</v>
      </c>
      <c r="C366" s="3" t="s">
        <v>24</v>
      </c>
      <c r="D366" s="5">
        <v>0.84899999999999998</v>
      </c>
      <c r="E366" s="3" t="s">
        <v>14</v>
      </c>
      <c r="F366" s="5">
        <v>128.48699999999999</v>
      </c>
      <c r="G366" s="3" t="s">
        <v>24</v>
      </c>
      <c r="H366" s="3">
        <f t="shared" si="10"/>
        <v>1</v>
      </c>
      <c r="K366" s="3" t="str">
        <f t="shared" si="11"/>
        <v/>
      </c>
    </row>
    <row r="367" spans="1:11" x14ac:dyDescent="0.25">
      <c r="A367" s="3">
        <v>9</v>
      </c>
      <c r="B367" s="13">
        <v>46258.4832523148</v>
      </c>
      <c r="C367" s="3" t="s">
        <v>13</v>
      </c>
      <c r="D367" s="5">
        <v>0.872</v>
      </c>
      <c r="E367" s="3" t="s">
        <v>14</v>
      </c>
      <c r="F367" s="5">
        <v>116.04</v>
      </c>
      <c r="G367" s="3" t="s">
        <v>13</v>
      </c>
      <c r="H367" s="3">
        <f t="shared" si="10"/>
        <v>1</v>
      </c>
      <c r="I367" s="3">
        <v>1</v>
      </c>
      <c r="J367" s="3" t="s">
        <v>13</v>
      </c>
      <c r="K367" s="3">
        <f t="shared" si="11"/>
        <v>1</v>
      </c>
    </row>
    <row r="368" spans="1:11" x14ac:dyDescent="0.25">
      <c r="A368" s="3">
        <v>9</v>
      </c>
      <c r="B368" s="13">
        <v>46258.483356481498</v>
      </c>
      <c r="C368" s="3" t="s">
        <v>16</v>
      </c>
      <c r="D368" s="5">
        <v>0.85699999999999998</v>
      </c>
      <c r="E368" s="3" t="s">
        <v>14</v>
      </c>
      <c r="F368" s="5">
        <v>122.04300000000001</v>
      </c>
      <c r="G368" s="3" t="s">
        <v>16</v>
      </c>
      <c r="H368" s="3">
        <f t="shared" si="10"/>
        <v>1</v>
      </c>
      <c r="K368" s="3" t="str">
        <f t="shared" si="11"/>
        <v/>
      </c>
    </row>
    <row r="369" spans="1:11" x14ac:dyDescent="0.25">
      <c r="A369" s="3">
        <v>9</v>
      </c>
      <c r="B369" s="13">
        <v>46258.483622685198</v>
      </c>
      <c r="C369" s="3" t="s">
        <v>37</v>
      </c>
      <c r="D369" s="5">
        <v>0.93</v>
      </c>
      <c r="E369" s="3" t="s">
        <v>14</v>
      </c>
      <c r="F369" s="5">
        <v>124.404</v>
      </c>
      <c r="G369" s="3" t="s">
        <v>37</v>
      </c>
      <c r="H369" s="3">
        <f t="shared" si="10"/>
        <v>1</v>
      </c>
      <c r="K369" s="3" t="str">
        <f t="shared" si="11"/>
        <v/>
      </c>
    </row>
    <row r="370" spans="1:11" x14ac:dyDescent="0.25">
      <c r="A370" s="3">
        <v>9</v>
      </c>
      <c r="B370" s="13">
        <v>46258.483865740702</v>
      </c>
      <c r="C370" s="3" t="s">
        <v>32</v>
      </c>
      <c r="D370" s="5">
        <v>0.86399999999999999</v>
      </c>
      <c r="E370" s="3" t="s">
        <v>14</v>
      </c>
      <c r="F370" s="5">
        <v>123.871</v>
      </c>
      <c r="G370" s="3" t="s">
        <v>32</v>
      </c>
      <c r="H370" s="3">
        <f t="shared" si="10"/>
        <v>1</v>
      </c>
      <c r="K370" s="3" t="str">
        <f t="shared" si="11"/>
        <v/>
      </c>
    </row>
    <row r="371" spans="1:11" x14ac:dyDescent="0.25">
      <c r="A371" s="3">
        <v>9</v>
      </c>
      <c r="B371" s="13">
        <v>46258.484039351897</v>
      </c>
      <c r="C371" s="3" t="s">
        <v>33</v>
      </c>
      <c r="D371" s="5">
        <v>0.83499999999999996</v>
      </c>
      <c r="E371" s="3" t="s">
        <v>14</v>
      </c>
      <c r="F371" s="5">
        <v>123.021</v>
      </c>
      <c r="G371" s="3" t="s">
        <v>33</v>
      </c>
      <c r="H371" s="3">
        <f t="shared" si="10"/>
        <v>1</v>
      </c>
      <c r="K371" s="3" t="str">
        <f t="shared" si="11"/>
        <v/>
      </c>
    </row>
    <row r="372" spans="1:11" x14ac:dyDescent="0.25">
      <c r="A372" s="3">
        <v>9</v>
      </c>
      <c r="B372" s="13">
        <v>46258.484259259298</v>
      </c>
      <c r="C372" s="3" t="s">
        <v>11</v>
      </c>
      <c r="D372" s="5">
        <v>0.88100000000000001</v>
      </c>
      <c r="E372" s="3" t="s">
        <v>12</v>
      </c>
      <c r="F372" s="5">
        <v>150.55000000000001</v>
      </c>
      <c r="G372" s="3" t="s">
        <v>11</v>
      </c>
      <c r="H372" s="3">
        <f t="shared" si="10"/>
        <v>1</v>
      </c>
      <c r="K372" s="3" t="str">
        <f t="shared" si="11"/>
        <v/>
      </c>
    </row>
    <row r="373" spans="1:11" x14ac:dyDescent="0.25">
      <c r="A373" s="3">
        <v>9</v>
      </c>
      <c r="B373" s="13">
        <v>46258.484502314801</v>
      </c>
      <c r="C373" s="3" t="s">
        <v>15</v>
      </c>
      <c r="D373" s="5">
        <v>0.88200000000000001</v>
      </c>
      <c r="E373" s="3" t="s">
        <v>14</v>
      </c>
      <c r="F373" s="5">
        <v>98.617000000000004</v>
      </c>
      <c r="G373" s="3" t="s">
        <v>15</v>
      </c>
      <c r="H373" s="3">
        <f t="shared" si="10"/>
        <v>1</v>
      </c>
      <c r="K373" s="3" t="str">
        <f t="shared" si="11"/>
        <v/>
      </c>
    </row>
    <row r="374" spans="1:11" x14ac:dyDescent="0.25">
      <c r="A374" s="3">
        <v>9</v>
      </c>
      <c r="B374" s="13">
        <v>46258.4847800926</v>
      </c>
      <c r="C374" s="3" t="s">
        <v>22</v>
      </c>
      <c r="D374" s="5">
        <v>0.97899999999999998</v>
      </c>
      <c r="E374" s="3" t="s">
        <v>14</v>
      </c>
      <c r="F374" s="5">
        <v>144.476</v>
      </c>
      <c r="G374" s="3" t="s">
        <v>22</v>
      </c>
      <c r="H374" s="3">
        <f t="shared" si="10"/>
        <v>1</v>
      </c>
      <c r="K374" s="3" t="str">
        <f t="shared" si="11"/>
        <v/>
      </c>
    </row>
    <row r="375" spans="1:11" x14ac:dyDescent="0.25">
      <c r="A375" s="3">
        <v>9</v>
      </c>
      <c r="B375" s="13">
        <v>46258.485023148198</v>
      </c>
      <c r="C375" s="3" t="s">
        <v>20</v>
      </c>
      <c r="D375" s="5">
        <v>0.78</v>
      </c>
      <c r="E375" s="3" t="s">
        <v>12</v>
      </c>
      <c r="F375" s="5">
        <v>149.559</v>
      </c>
      <c r="G375" s="3" t="s">
        <v>27</v>
      </c>
      <c r="H375" s="3">
        <f t="shared" si="10"/>
        <v>0</v>
      </c>
      <c r="K375" s="3" t="str">
        <f t="shared" si="11"/>
        <v/>
      </c>
    </row>
    <row r="376" spans="1:11" x14ac:dyDescent="0.25">
      <c r="A376" s="3">
        <v>9</v>
      </c>
      <c r="B376" s="13">
        <v>46258.485127314802</v>
      </c>
      <c r="C376" s="3" t="s">
        <v>35</v>
      </c>
      <c r="D376" s="5">
        <v>0.92800000000000005</v>
      </c>
      <c r="E376" s="3" t="s">
        <v>14</v>
      </c>
      <c r="F376" s="5">
        <v>130.94999999999999</v>
      </c>
      <c r="G376" s="3" t="s">
        <v>35</v>
      </c>
      <c r="H376" s="3">
        <f t="shared" si="10"/>
        <v>1</v>
      </c>
      <c r="I376" s="3">
        <v>1</v>
      </c>
      <c r="J376" s="3" t="s">
        <v>35</v>
      </c>
      <c r="K376" s="3">
        <f t="shared" si="11"/>
        <v>1</v>
      </c>
    </row>
    <row r="377" spans="1:11" x14ac:dyDescent="0.25">
      <c r="A377" s="3">
        <v>9</v>
      </c>
      <c r="B377" s="13">
        <v>46258.485601851899</v>
      </c>
      <c r="C377" s="3" t="s">
        <v>34</v>
      </c>
      <c r="D377" s="5">
        <v>0.90500000000000003</v>
      </c>
      <c r="E377" s="3" t="s">
        <v>14</v>
      </c>
      <c r="F377" s="5">
        <v>133.273</v>
      </c>
      <c r="G377" s="3" t="s">
        <v>34</v>
      </c>
      <c r="H377" s="3">
        <f t="shared" si="10"/>
        <v>1</v>
      </c>
      <c r="I377" s="3">
        <v>1</v>
      </c>
      <c r="J377" s="3" t="s">
        <v>34</v>
      </c>
      <c r="K377" s="3">
        <f t="shared" si="11"/>
        <v>1</v>
      </c>
    </row>
    <row r="378" spans="1:11" x14ac:dyDescent="0.25">
      <c r="A378" s="3">
        <v>9</v>
      </c>
      <c r="B378" s="13">
        <v>46258.485983796301</v>
      </c>
      <c r="C378" s="3" t="s">
        <v>25</v>
      </c>
      <c r="D378" s="5">
        <v>0.92300000000000004</v>
      </c>
      <c r="E378" s="3" t="s">
        <v>14</v>
      </c>
      <c r="F378" s="5">
        <v>90.453999999999994</v>
      </c>
      <c r="G378" s="3" t="s">
        <v>25</v>
      </c>
      <c r="H378" s="3">
        <f t="shared" si="10"/>
        <v>1</v>
      </c>
      <c r="K378" s="3" t="str">
        <f t="shared" si="11"/>
        <v/>
      </c>
    </row>
    <row r="379" spans="1:11" x14ac:dyDescent="0.25">
      <c r="A379" s="3">
        <v>9</v>
      </c>
      <c r="B379" s="13">
        <v>46258.486145833303</v>
      </c>
      <c r="C379" s="3" t="s">
        <v>20</v>
      </c>
      <c r="D379" s="5">
        <v>0.98199999999999998</v>
      </c>
      <c r="E379" s="3" t="s">
        <v>12</v>
      </c>
      <c r="F379" s="5">
        <v>129.90600000000001</v>
      </c>
      <c r="G379" s="3" t="s">
        <v>20</v>
      </c>
      <c r="H379" s="3">
        <f t="shared" si="10"/>
        <v>1</v>
      </c>
      <c r="K379" s="3" t="str">
        <f t="shared" si="11"/>
        <v/>
      </c>
    </row>
    <row r="380" spans="1:11" x14ac:dyDescent="0.25">
      <c r="A380" s="3">
        <v>9</v>
      </c>
      <c r="B380" s="13">
        <v>46258.486365740697</v>
      </c>
      <c r="C380" s="3" t="s">
        <v>17</v>
      </c>
      <c r="D380" s="5">
        <v>0.95099999999999996</v>
      </c>
      <c r="E380" s="3" t="s">
        <v>14</v>
      </c>
      <c r="F380" s="5">
        <v>124.41</v>
      </c>
      <c r="G380" s="3" t="s">
        <v>17</v>
      </c>
      <c r="H380" s="3">
        <f t="shared" si="10"/>
        <v>1</v>
      </c>
      <c r="K380" s="3" t="str">
        <f t="shared" si="11"/>
        <v/>
      </c>
    </row>
    <row r="381" spans="1:11" x14ac:dyDescent="0.25">
      <c r="A381" s="3">
        <v>9</v>
      </c>
      <c r="B381" s="13">
        <v>46258.486481481501</v>
      </c>
      <c r="C381" s="3" t="s">
        <v>38</v>
      </c>
      <c r="D381" s="5">
        <v>0.92600000000000005</v>
      </c>
      <c r="E381" s="3" t="s">
        <v>14</v>
      </c>
      <c r="F381" s="5">
        <v>142.04400000000001</v>
      </c>
      <c r="G381" s="3" t="s">
        <v>38</v>
      </c>
      <c r="H381" s="3">
        <f t="shared" si="10"/>
        <v>1</v>
      </c>
      <c r="K381" s="3" t="str">
        <f t="shared" si="11"/>
        <v/>
      </c>
    </row>
    <row r="382" spans="1:11" x14ac:dyDescent="0.25">
      <c r="A382" s="3">
        <v>9</v>
      </c>
      <c r="B382" s="13">
        <v>46258.486875000002</v>
      </c>
      <c r="C382" s="3" t="s">
        <v>28</v>
      </c>
      <c r="D382" s="5">
        <v>0.91100000000000003</v>
      </c>
      <c r="E382" s="3" t="s">
        <v>14</v>
      </c>
      <c r="F382" s="5">
        <v>106.518</v>
      </c>
      <c r="G382" s="3" t="s">
        <v>28</v>
      </c>
      <c r="H382" s="3">
        <f t="shared" si="10"/>
        <v>1</v>
      </c>
      <c r="K382" s="3" t="str">
        <f t="shared" si="11"/>
        <v/>
      </c>
    </row>
    <row r="383" spans="1:11" x14ac:dyDescent="0.25">
      <c r="A383" s="3">
        <v>9</v>
      </c>
      <c r="B383" s="13">
        <v>46258.487106481502</v>
      </c>
      <c r="C383" s="3" t="s">
        <v>26</v>
      </c>
      <c r="D383" s="5">
        <v>0.78200000000000003</v>
      </c>
      <c r="E383" s="3" t="s">
        <v>14</v>
      </c>
      <c r="F383" s="5">
        <v>132.505</v>
      </c>
      <c r="G383" s="3" t="s">
        <v>26</v>
      </c>
      <c r="H383" s="3">
        <f t="shared" si="10"/>
        <v>1</v>
      </c>
      <c r="I383" s="3">
        <v>1</v>
      </c>
      <c r="J383" s="3" t="s">
        <v>26</v>
      </c>
      <c r="K383" s="3">
        <f t="shared" si="11"/>
        <v>1</v>
      </c>
    </row>
    <row r="384" spans="1:11" x14ac:dyDescent="0.25">
      <c r="A384" s="3">
        <v>9</v>
      </c>
      <c r="B384" s="13">
        <v>46258.487314814804</v>
      </c>
      <c r="C384" s="3" t="s">
        <v>39</v>
      </c>
      <c r="D384" s="5">
        <v>0.79900000000000004</v>
      </c>
      <c r="E384" s="3" t="s">
        <v>14</v>
      </c>
      <c r="F384" s="5">
        <v>85</v>
      </c>
      <c r="G384" s="3" t="s">
        <v>39</v>
      </c>
      <c r="H384" s="3">
        <f t="shared" si="10"/>
        <v>1</v>
      </c>
      <c r="K384" s="3" t="str">
        <f t="shared" si="11"/>
        <v/>
      </c>
    </row>
    <row r="385" spans="1:11" x14ac:dyDescent="0.25">
      <c r="A385" s="3">
        <v>9</v>
      </c>
      <c r="B385" s="13">
        <v>46258.487453703703</v>
      </c>
      <c r="C385" s="3" t="s">
        <v>27</v>
      </c>
      <c r="D385" s="5">
        <v>0.73899999999999999</v>
      </c>
      <c r="E385" s="3" t="s">
        <v>12</v>
      </c>
      <c r="F385" s="5">
        <v>134.041</v>
      </c>
      <c r="G385" s="3" t="s">
        <v>30</v>
      </c>
      <c r="H385" s="3">
        <f t="shared" si="10"/>
        <v>0</v>
      </c>
      <c r="K385" s="3" t="str">
        <f t="shared" si="11"/>
        <v/>
      </c>
    </row>
    <row r="386" spans="1:11" x14ac:dyDescent="0.25">
      <c r="A386" s="3">
        <v>9</v>
      </c>
      <c r="B386" s="13">
        <v>46258.487604166701</v>
      </c>
      <c r="C386" s="3" t="s">
        <v>19</v>
      </c>
      <c r="D386" s="5">
        <v>0.91300000000000003</v>
      </c>
      <c r="E386" s="3" t="s">
        <v>14</v>
      </c>
      <c r="F386" s="5">
        <v>100.706</v>
      </c>
      <c r="G386" s="3" t="s">
        <v>19</v>
      </c>
      <c r="H386" s="3">
        <f t="shared" ref="H386:H449" si="12">IF(C386=G386,1,0)</f>
        <v>1</v>
      </c>
      <c r="I386" s="3">
        <v>1</v>
      </c>
      <c r="J386" s="3" t="s">
        <v>19</v>
      </c>
      <c r="K386" s="3">
        <f t="shared" ref="K386:K449" si="13">IF(J386="","",IF(J386=G386,1,0))</f>
        <v>1</v>
      </c>
    </row>
    <row r="387" spans="1:11" x14ac:dyDescent="0.25">
      <c r="A387" s="3">
        <v>9</v>
      </c>
      <c r="B387" s="13">
        <v>46258.487870370402</v>
      </c>
      <c r="C387" s="3" t="s">
        <v>21</v>
      </c>
      <c r="D387" s="5">
        <v>0.94199999999999995</v>
      </c>
      <c r="E387" s="3" t="s">
        <v>14</v>
      </c>
      <c r="F387" s="5">
        <v>104.476</v>
      </c>
      <c r="G387" s="3" t="s">
        <v>21</v>
      </c>
      <c r="H387" s="3">
        <f t="shared" si="12"/>
        <v>1</v>
      </c>
      <c r="I387" s="3">
        <v>1</v>
      </c>
      <c r="J387" s="3" t="s">
        <v>21</v>
      </c>
      <c r="K387" s="3">
        <f t="shared" si="13"/>
        <v>1</v>
      </c>
    </row>
    <row r="388" spans="1:11" x14ac:dyDescent="0.25">
      <c r="A388" s="3">
        <v>9</v>
      </c>
      <c r="B388" s="13">
        <v>46258.488252314797</v>
      </c>
      <c r="C388" s="3" t="s">
        <v>36</v>
      </c>
      <c r="D388" s="5">
        <v>0.89</v>
      </c>
      <c r="E388" s="3" t="s">
        <v>14</v>
      </c>
      <c r="F388" s="5">
        <v>102.303</v>
      </c>
      <c r="G388" s="3" t="s">
        <v>36</v>
      </c>
      <c r="H388" s="3">
        <f t="shared" si="12"/>
        <v>1</v>
      </c>
      <c r="K388" s="3" t="str">
        <f t="shared" si="13"/>
        <v/>
      </c>
    </row>
    <row r="389" spans="1:11" x14ac:dyDescent="0.25">
      <c r="A389" s="3">
        <v>9</v>
      </c>
      <c r="B389" s="13">
        <v>46258.488541666702</v>
      </c>
      <c r="C389" s="3" t="s">
        <v>18</v>
      </c>
      <c r="D389" s="5">
        <v>0.89600000000000002</v>
      </c>
      <c r="E389" s="3" t="s">
        <v>14</v>
      </c>
      <c r="F389" s="5">
        <v>92.927999999999997</v>
      </c>
      <c r="G389" s="3" t="s">
        <v>18</v>
      </c>
      <c r="H389" s="3">
        <f t="shared" si="12"/>
        <v>1</v>
      </c>
      <c r="K389" s="3" t="str">
        <f t="shared" si="13"/>
        <v/>
      </c>
    </row>
    <row r="390" spans="1:11" x14ac:dyDescent="0.25">
      <c r="A390" s="3">
        <v>9</v>
      </c>
      <c r="B390" s="13">
        <v>46258.488715277803</v>
      </c>
      <c r="C390" s="3" t="s">
        <v>23</v>
      </c>
      <c r="D390" s="5">
        <v>0.98699999999999999</v>
      </c>
      <c r="E390" s="3" t="s">
        <v>14</v>
      </c>
      <c r="F390" s="5">
        <v>120.20399999999999</v>
      </c>
      <c r="G390" s="3" t="s">
        <v>23</v>
      </c>
      <c r="H390" s="3">
        <f t="shared" si="12"/>
        <v>1</v>
      </c>
      <c r="I390" s="3">
        <v>1</v>
      </c>
      <c r="J390" s="3" t="s">
        <v>23</v>
      </c>
      <c r="K390" s="3">
        <f t="shared" si="13"/>
        <v>1</v>
      </c>
    </row>
    <row r="391" spans="1:11" x14ac:dyDescent="0.25">
      <c r="A391" s="3">
        <v>9</v>
      </c>
      <c r="B391" s="13">
        <v>46258.489027777803</v>
      </c>
      <c r="C391" s="3" t="s">
        <v>13</v>
      </c>
      <c r="D391" s="5">
        <v>0.97199999999999998</v>
      </c>
      <c r="E391" s="3" t="s">
        <v>14</v>
      </c>
      <c r="F391" s="5">
        <v>114.3</v>
      </c>
      <c r="G391" s="3" t="s">
        <v>13</v>
      </c>
      <c r="H391" s="3">
        <f t="shared" si="12"/>
        <v>1</v>
      </c>
      <c r="I391" s="3">
        <v>1</v>
      </c>
      <c r="J391" s="3" t="s">
        <v>13</v>
      </c>
      <c r="K391" s="3">
        <f t="shared" si="13"/>
        <v>1</v>
      </c>
    </row>
    <row r="392" spans="1:11" x14ac:dyDescent="0.25">
      <c r="A392" s="3">
        <v>9</v>
      </c>
      <c r="B392" s="13">
        <v>46258.489189814798</v>
      </c>
      <c r="C392" s="3" t="s">
        <v>34</v>
      </c>
      <c r="D392" s="5">
        <v>0.86399999999999999</v>
      </c>
      <c r="E392" s="3" t="s">
        <v>14</v>
      </c>
      <c r="F392" s="5">
        <v>141.452</v>
      </c>
      <c r="G392" s="3" t="s">
        <v>34</v>
      </c>
      <c r="H392" s="3">
        <f t="shared" si="12"/>
        <v>1</v>
      </c>
      <c r="I392" s="3">
        <v>1</v>
      </c>
      <c r="J392" s="3" t="s">
        <v>34</v>
      </c>
      <c r="K392" s="3">
        <f t="shared" si="13"/>
        <v>1</v>
      </c>
    </row>
    <row r="393" spans="1:11" x14ac:dyDescent="0.25">
      <c r="A393" s="3">
        <v>9</v>
      </c>
      <c r="B393" s="13">
        <v>46258.489317129599</v>
      </c>
      <c r="C393" s="3" t="s">
        <v>22</v>
      </c>
      <c r="D393" s="5">
        <v>0.80400000000000005</v>
      </c>
      <c r="E393" s="3" t="s">
        <v>14</v>
      </c>
      <c r="F393" s="5">
        <v>116.982</v>
      </c>
      <c r="G393" s="3" t="s">
        <v>22</v>
      </c>
      <c r="H393" s="3">
        <f t="shared" si="12"/>
        <v>1</v>
      </c>
      <c r="I393" s="3">
        <v>1</v>
      </c>
      <c r="J393" s="3" t="s">
        <v>22</v>
      </c>
      <c r="K393" s="3">
        <f t="shared" si="13"/>
        <v>1</v>
      </c>
    </row>
    <row r="394" spans="1:11" x14ac:dyDescent="0.25">
      <c r="A394" s="3">
        <v>9</v>
      </c>
      <c r="B394" s="13">
        <v>46258.489502314798</v>
      </c>
      <c r="C394" s="3" t="s">
        <v>38</v>
      </c>
      <c r="D394" s="5">
        <v>0.876</v>
      </c>
      <c r="E394" s="3" t="s">
        <v>14</v>
      </c>
      <c r="F394" s="5">
        <v>142.61000000000001</v>
      </c>
      <c r="G394" s="3" t="s">
        <v>38</v>
      </c>
      <c r="H394" s="3">
        <f t="shared" si="12"/>
        <v>1</v>
      </c>
      <c r="I394" s="3">
        <v>1</v>
      </c>
      <c r="J394" s="3" t="s">
        <v>38</v>
      </c>
      <c r="K394" s="3">
        <f t="shared" si="13"/>
        <v>1</v>
      </c>
    </row>
    <row r="395" spans="1:11" x14ac:dyDescent="0.25">
      <c r="A395" s="3">
        <v>9</v>
      </c>
      <c r="B395" s="13">
        <v>46258.489918981497</v>
      </c>
      <c r="C395" s="3" t="s">
        <v>38</v>
      </c>
      <c r="D395" s="5">
        <v>0.95899999999999996</v>
      </c>
      <c r="E395" s="3" t="s">
        <v>14</v>
      </c>
      <c r="F395" s="5">
        <v>101.53</v>
      </c>
      <c r="G395" s="3" t="s">
        <v>38</v>
      </c>
      <c r="H395" s="3">
        <f t="shared" si="12"/>
        <v>1</v>
      </c>
      <c r="I395" s="3">
        <v>1</v>
      </c>
      <c r="J395" s="3" t="s">
        <v>38</v>
      </c>
      <c r="K395" s="3">
        <f t="shared" si="13"/>
        <v>1</v>
      </c>
    </row>
    <row r="396" spans="1:11" x14ac:dyDescent="0.25">
      <c r="A396" s="3">
        <v>9</v>
      </c>
      <c r="B396" s="13">
        <v>46258.490266203698</v>
      </c>
      <c r="C396" s="3" t="s">
        <v>36</v>
      </c>
      <c r="D396" s="5">
        <v>0.874</v>
      </c>
      <c r="E396" s="3" t="s">
        <v>14</v>
      </c>
      <c r="F396" s="5">
        <v>109.18300000000001</v>
      </c>
      <c r="G396" s="3" t="s">
        <v>36</v>
      </c>
      <c r="H396" s="3">
        <f t="shared" si="12"/>
        <v>1</v>
      </c>
      <c r="I396" s="3">
        <v>1</v>
      </c>
      <c r="J396" s="3" t="s">
        <v>36</v>
      </c>
      <c r="K396" s="3">
        <f t="shared" si="13"/>
        <v>1</v>
      </c>
    </row>
    <row r="397" spans="1:11" x14ac:dyDescent="0.25">
      <c r="A397" s="3">
        <v>9</v>
      </c>
      <c r="B397" s="13">
        <v>46258.490648148101</v>
      </c>
      <c r="C397" s="3" t="s">
        <v>37</v>
      </c>
      <c r="D397" s="5">
        <v>0.95899999999999996</v>
      </c>
      <c r="E397" s="3" t="s">
        <v>14</v>
      </c>
      <c r="F397" s="5">
        <v>119.378</v>
      </c>
      <c r="G397" s="3" t="s">
        <v>37</v>
      </c>
      <c r="H397" s="3">
        <f t="shared" si="12"/>
        <v>1</v>
      </c>
      <c r="I397" s="3">
        <v>1</v>
      </c>
      <c r="J397" s="3" t="s">
        <v>37</v>
      </c>
      <c r="K397" s="3">
        <f t="shared" si="13"/>
        <v>1</v>
      </c>
    </row>
    <row r="398" spans="1:11" x14ac:dyDescent="0.25">
      <c r="A398" s="3">
        <v>9</v>
      </c>
      <c r="B398" s="13">
        <v>46258.4908796296</v>
      </c>
      <c r="C398" s="3" t="s">
        <v>20</v>
      </c>
      <c r="D398" s="5">
        <v>0.83699999999999997</v>
      </c>
      <c r="E398" s="3" t="s">
        <v>12</v>
      </c>
      <c r="F398" s="5">
        <v>130.38900000000001</v>
      </c>
      <c r="G398" s="3" t="s">
        <v>20</v>
      </c>
      <c r="H398" s="3">
        <f t="shared" si="12"/>
        <v>1</v>
      </c>
      <c r="K398" s="3" t="str">
        <f t="shared" si="13"/>
        <v/>
      </c>
    </row>
    <row r="399" spans="1:11" x14ac:dyDescent="0.25">
      <c r="A399" s="3">
        <v>9</v>
      </c>
      <c r="B399" s="13">
        <v>46258.491087962997</v>
      </c>
      <c r="C399" s="3" t="s">
        <v>34</v>
      </c>
      <c r="D399" s="5">
        <v>0.76800000000000002</v>
      </c>
      <c r="E399" s="3" t="s">
        <v>14</v>
      </c>
      <c r="F399" s="5">
        <v>131.27000000000001</v>
      </c>
      <c r="G399" s="3" t="s">
        <v>37</v>
      </c>
      <c r="H399" s="3">
        <f t="shared" si="12"/>
        <v>0</v>
      </c>
      <c r="K399" s="3" t="str">
        <f t="shared" si="13"/>
        <v/>
      </c>
    </row>
    <row r="400" spans="1:11" x14ac:dyDescent="0.25">
      <c r="A400" s="3">
        <v>9</v>
      </c>
      <c r="B400" s="13">
        <v>46258.491273148204</v>
      </c>
      <c r="C400" s="3" t="s">
        <v>39</v>
      </c>
      <c r="D400" s="5">
        <v>0.78600000000000003</v>
      </c>
      <c r="E400" s="3" t="s">
        <v>14</v>
      </c>
      <c r="F400" s="5">
        <v>97.685000000000002</v>
      </c>
      <c r="G400" s="3" t="s">
        <v>11</v>
      </c>
      <c r="H400" s="3">
        <f t="shared" si="12"/>
        <v>0</v>
      </c>
      <c r="K400" s="3" t="str">
        <f t="shared" si="13"/>
        <v/>
      </c>
    </row>
    <row r="401" spans="1:11" x14ac:dyDescent="0.25">
      <c r="A401" s="3">
        <v>9</v>
      </c>
      <c r="B401" s="13">
        <v>46258.491539351897</v>
      </c>
      <c r="C401" s="3" t="s">
        <v>34</v>
      </c>
      <c r="D401" s="5">
        <v>0.95199999999999996</v>
      </c>
      <c r="E401" s="3" t="s">
        <v>14</v>
      </c>
      <c r="F401" s="5">
        <v>112.788</v>
      </c>
      <c r="G401" s="3" t="s">
        <v>34</v>
      </c>
      <c r="H401" s="3">
        <f t="shared" si="12"/>
        <v>1</v>
      </c>
      <c r="K401" s="3" t="str">
        <f t="shared" si="13"/>
        <v/>
      </c>
    </row>
    <row r="402" spans="1:11" x14ac:dyDescent="0.25">
      <c r="A402" s="3">
        <v>9</v>
      </c>
      <c r="B402" s="13">
        <v>46258.491724537002</v>
      </c>
      <c r="C402" s="3" t="s">
        <v>21</v>
      </c>
      <c r="D402" s="5">
        <v>0.94899999999999995</v>
      </c>
      <c r="E402" s="3" t="s">
        <v>14</v>
      </c>
      <c r="F402" s="5">
        <v>124.199</v>
      </c>
      <c r="G402" s="3" t="s">
        <v>21</v>
      </c>
      <c r="H402" s="3">
        <f t="shared" si="12"/>
        <v>1</v>
      </c>
      <c r="I402" s="3">
        <v>1</v>
      </c>
      <c r="J402" s="3" t="s">
        <v>21</v>
      </c>
      <c r="K402" s="3">
        <f t="shared" si="13"/>
        <v>1</v>
      </c>
    </row>
    <row r="403" spans="1:11" x14ac:dyDescent="0.25">
      <c r="A403" s="3">
        <v>9</v>
      </c>
      <c r="B403" s="13">
        <v>46258.491956018501</v>
      </c>
      <c r="C403" s="3" t="s">
        <v>39</v>
      </c>
      <c r="D403" s="5">
        <v>0.88600000000000001</v>
      </c>
      <c r="E403" s="3" t="s">
        <v>14</v>
      </c>
      <c r="F403" s="5">
        <v>127.33799999999999</v>
      </c>
      <c r="G403" s="3" t="s">
        <v>39</v>
      </c>
      <c r="H403" s="3">
        <f t="shared" si="12"/>
        <v>1</v>
      </c>
      <c r="K403" s="3" t="str">
        <f t="shared" si="13"/>
        <v/>
      </c>
    </row>
    <row r="404" spans="1:11" x14ac:dyDescent="0.25">
      <c r="A404" s="3">
        <v>10</v>
      </c>
      <c r="B404" s="13">
        <v>46258.4930902778</v>
      </c>
      <c r="C404" s="3" t="s">
        <v>38</v>
      </c>
      <c r="D404" s="5">
        <v>0.94899999999999995</v>
      </c>
      <c r="E404" s="3" t="s">
        <v>14</v>
      </c>
      <c r="F404" s="5">
        <v>85.819000000000003</v>
      </c>
      <c r="G404" s="3" t="s">
        <v>38</v>
      </c>
      <c r="H404" s="3">
        <f t="shared" si="12"/>
        <v>1</v>
      </c>
      <c r="K404" s="3" t="str">
        <f t="shared" si="13"/>
        <v/>
      </c>
    </row>
    <row r="405" spans="1:11" x14ac:dyDescent="0.25">
      <c r="A405" s="3">
        <v>10</v>
      </c>
      <c r="B405" s="13">
        <v>46258.4933101852</v>
      </c>
      <c r="C405" s="3" t="s">
        <v>11</v>
      </c>
      <c r="D405" s="5">
        <v>0.97299999999999998</v>
      </c>
      <c r="E405" s="3" t="s">
        <v>12</v>
      </c>
      <c r="F405" s="5">
        <v>157.274</v>
      </c>
      <c r="G405" s="3" t="s">
        <v>11</v>
      </c>
      <c r="H405" s="3">
        <f t="shared" si="12"/>
        <v>1</v>
      </c>
      <c r="K405" s="3" t="str">
        <f t="shared" si="13"/>
        <v/>
      </c>
    </row>
    <row r="406" spans="1:11" x14ac:dyDescent="0.25">
      <c r="A406" s="3">
        <v>10</v>
      </c>
      <c r="B406" s="13">
        <v>46258.493530092601</v>
      </c>
      <c r="C406" s="3" t="s">
        <v>27</v>
      </c>
      <c r="D406" s="5">
        <v>0.88</v>
      </c>
      <c r="E406" s="3" t="s">
        <v>12</v>
      </c>
      <c r="F406" s="5">
        <v>136.74700000000001</v>
      </c>
      <c r="G406" s="3" t="s">
        <v>27</v>
      </c>
      <c r="H406" s="3">
        <f t="shared" si="12"/>
        <v>1</v>
      </c>
      <c r="K406" s="3" t="str">
        <f t="shared" si="13"/>
        <v/>
      </c>
    </row>
    <row r="407" spans="1:11" x14ac:dyDescent="0.25">
      <c r="A407" s="3">
        <v>10</v>
      </c>
      <c r="B407" s="13">
        <v>46258.493692129603</v>
      </c>
      <c r="C407" s="3" t="s">
        <v>36</v>
      </c>
      <c r="D407" s="5">
        <v>0.89700000000000002</v>
      </c>
      <c r="E407" s="3" t="s">
        <v>14</v>
      </c>
      <c r="F407" s="5">
        <v>114.40900000000001</v>
      </c>
      <c r="G407" s="3" t="s">
        <v>36</v>
      </c>
      <c r="H407" s="3">
        <f t="shared" si="12"/>
        <v>1</v>
      </c>
      <c r="K407" s="3" t="str">
        <f t="shared" si="13"/>
        <v/>
      </c>
    </row>
    <row r="408" spans="1:11" x14ac:dyDescent="0.25">
      <c r="A408" s="3">
        <v>10</v>
      </c>
      <c r="B408" s="13">
        <v>46258.493842592601</v>
      </c>
      <c r="C408" s="3" t="s">
        <v>35</v>
      </c>
      <c r="D408" s="5">
        <v>0.95199999999999996</v>
      </c>
      <c r="E408" s="3" t="s">
        <v>14</v>
      </c>
      <c r="F408" s="5">
        <v>133.173</v>
      </c>
      <c r="G408" s="3" t="s">
        <v>35</v>
      </c>
      <c r="H408" s="3">
        <f t="shared" si="12"/>
        <v>1</v>
      </c>
      <c r="K408" s="3" t="str">
        <f t="shared" si="13"/>
        <v/>
      </c>
    </row>
    <row r="409" spans="1:11" x14ac:dyDescent="0.25">
      <c r="A409" s="3">
        <v>10</v>
      </c>
      <c r="B409" s="13">
        <v>46258.494016203702</v>
      </c>
      <c r="C409" s="3" t="s">
        <v>26</v>
      </c>
      <c r="D409" s="5">
        <v>0.90600000000000003</v>
      </c>
      <c r="E409" s="3" t="s">
        <v>14</v>
      </c>
      <c r="F409" s="5">
        <v>127.92</v>
      </c>
      <c r="G409" s="3" t="s">
        <v>26</v>
      </c>
      <c r="H409" s="3">
        <f t="shared" si="12"/>
        <v>1</v>
      </c>
      <c r="I409" s="3">
        <v>1</v>
      </c>
      <c r="J409" s="3" t="s">
        <v>26</v>
      </c>
      <c r="K409" s="3">
        <f t="shared" si="13"/>
        <v>1</v>
      </c>
    </row>
    <row r="410" spans="1:11" x14ac:dyDescent="0.25">
      <c r="A410" s="3">
        <v>10</v>
      </c>
      <c r="B410" s="13">
        <v>46258.494201388901</v>
      </c>
      <c r="C410" s="3" t="s">
        <v>35</v>
      </c>
      <c r="D410" s="5">
        <v>0.82199999999999995</v>
      </c>
      <c r="E410" s="3" t="s">
        <v>14</v>
      </c>
      <c r="F410" s="5">
        <v>116.964</v>
      </c>
      <c r="G410" s="3" t="s">
        <v>13</v>
      </c>
      <c r="H410" s="3">
        <f t="shared" si="12"/>
        <v>0</v>
      </c>
      <c r="K410" s="3" t="str">
        <f t="shared" si="13"/>
        <v/>
      </c>
    </row>
    <row r="411" spans="1:11" x14ac:dyDescent="0.25">
      <c r="A411" s="3">
        <v>10</v>
      </c>
      <c r="B411" s="13">
        <v>46258.494548611103</v>
      </c>
      <c r="C411" s="3" t="s">
        <v>32</v>
      </c>
      <c r="D411" s="5">
        <v>0.79900000000000004</v>
      </c>
      <c r="E411" s="3" t="s">
        <v>14</v>
      </c>
      <c r="F411" s="5">
        <v>121.851</v>
      </c>
      <c r="G411" s="3" t="s">
        <v>32</v>
      </c>
      <c r="H411" s="3">
        <f t="shared" si="12"/>
        <v>1</v>
      </c>
      <c r="K411" s="3" t="str">
        <f t="shared" si="13"/>
        <v/>
      </c>
    </row>
    <row r="412" spans="1:11" x14ac:dyDescent="0.25">
      <c r="A412" s="3">
        <v>10</v>
      </c>
      <c r="B412" s="13">
        <v>46258.494768518503</v>
      </c>
      <c r="C412" s="3" t="s">
        <v>30</v>
      </c>
      <c r="D412" s="5">
        <v>0.90700000000000003</v>
      </c>
      <c r="E412" s="3" t="s">
        <v>14</v>
      </c>
      <c r="F412" s="5">
        <v>133.88200000000001</v>
      </c>
      <c r="G412" s="3" t="s">
        <v>30</v>
      </c>
      <c r="H412" s="3">
        <f t="shared" si="12"/>
        <v>1</v>
      </c>
      <c r="K412" s="3" t="str">
        <f t="shared" si="13"/>
        <v/>
      </c>
    </row>
    <row r="413" spans="1:11" x14ac:dyDescent="0.25">
      <c r="A413" s="3">
        <v>10</v>
      </c>
      <c r="B413" s="13">
        <v>46258.494942129597</v>
      </c>
      <c r="C413" s="3" t="s">
        <v>19</v>
      </c>
      <c r="D413" s="5">
        <v>0.85</v>
      </c>
      <c r="E413" s="3" t="s">
        <v>14</v>
      </c>
      <c r="F413" s="5">
        <v>100.321</v>
      </c>
      <c r="G413" s="3" t="s">
        <v>19</v>
      </c>
      <c r="H413" s="3">
        <f t="shared" si="12"/>
        <v>1</v>
      </c>
      <c r="K413" s="3" t="str">
        <f t="shared" si="13"/>
        <v/>
      </c>
    </row>
    <row r="414" spans="1:11" x14ac:dyDescent="0.25">
      <c r="A414" s="3">
        <v>10</v>
      </c>
      <c r="B414" s="13">
        <v>46258.495104166701</v>
      </c>
      <c r="C414" s="3" t="s">
        <v>35</v>
      </c>
      <c r="D414" s="5">
        <v>0.86299999999999999</v>
      </c>
      <c r="E414" s="3" t="s">
        <v>14</v>
      </c>
      <c r="F414" s="5">
        <v>103.16800000000001</v>
      </c>
      <c r="G414" s="3" t="s">
        <v>16</v>
      </c>
      <c r="H414" s="3">
        <f t="shared" si="12"/>
        <v>0</v>
      </c>
      <c r="K414" s="3" t="str">
        <f t="shared" si="13"/>
        <v/>
      </c>
    </row>
    <row r="415" spans="1:11" x14ac:dyDescent="0.25">
      <c r="A415" s="3">
        <v>10</v>
      </c>
      <c r="B415" s="13">
        <v>46258.495277777802</v>
      </c>
      <c r="C415" s="3" t="s">
        <v>28</v>
      </c>
      <c r="D415" s="5">
        <v>0.94499999999999995</v>
      </c>
      <c r="E415" s="3" t="s">
        <v>14</v>
      </c>
      <c r="F415" s="5">
        <v>123.40900000000001</v>
      </c>
      <c r="G415" s="3" t="s">
        <v>28</v>
      </c>
      <c r="H415" s="3">
        <f t="shared" si="12"/>
        <v>1</v>
      </c>
      <c r="I415" s="3">
        <v>1</v>
      </c>
      <c r="J415" s="3" t="s">
        <v>28</v>
      </c>
      <c r="K415" s="3">
        <f t="shared" si="13"/>
        <v>1</v>
      </c>
    </row>
    <row r="416" spans="1:11" x14ac:dyDescent="0.25">
      <c r="A416" s="3">
        <v>10</v>
      </c>
      <c r="B416" s="13">
        <v>46258.495567129597</v>
      </c>
      <c r="C416" s="3" t="s">
        <v>37</v>
      </c>
      <c r="D416" s="5">
        <v>0.99</v>
      </c>
      <c r="E416" s="3" t="s">
        <v>14</v>
      </c>
      <c r="F416" s="5">
        <v>116.229</v>
      </c>
      <c r="G416" s="3" t="s">
        <v>37</v>
      </c>
      <c r="H416" s="3">
        <f t="shared" si="12"/>
        <v>1</v>
      </c>
      <c r="K416" s="3" t="str">
        <f t="shared" si="13"/>
        <v/>
      </c>
    </row>
    <row r="417" spans="1:11" x14ac:dyDescent="0.25">
      <c r="A417" s="3">
        <v>10</v>
      </c>
      <c r="B417" s="13">
        <v>46258.495752314797</v>
      </c>
      <c r="C417" s="3" t="s">
        <v>23</v>
      </c>
      <c r="D417" s="5">
        <v>0.98899999999999999</v>
      </c>
      <c r="E417" s="3" t="s">
        <v>14</v>
      </c>
      <c r="F417" s="5">
        <v>127.34</v>
      </c>
      <c r="G417" s="3" t="s">
        <v>23</v>
      </c>
      <c r="H417" s="3">
        <f t="shared" si="12"/>
        <v>1</v>
      </c>
      <c r="K417" s="3" t="str">
        <f t="shared" si="13"/>
        <v/>
      </c>
    </row>
    <row r="418" spans="1:11" x14ac:dyDescent="0.25">
      <c r="A418" s="3">
        <v>10</v>
      </c>
      <c r="B418" s="13">
        <v>46258.496134259301</v>
      </c>
      <c r="C418" s="3" t="s">
        <v>24</v>
      </c>
      <c r="D418" s="5">
        <v>0.92400000000000004</v>
      </c>
      <c r="E418" s="3" t="s">
        <v>14</v>
      </c>
      <c r="F418" s="5">
        <v>126.845</v>
      </c>
      <c r="G418" s="3" t="s">
        <v>24</v>
      </c>
      <c r="H418" s="3">
        <f t="shared" si="12"/>
        <v>1</v>
      </c>
      <c r="I418" s="3">
        <v>1</v>
      </c>
      <c r="J418" s="3" t="s">
        <v>24</v>
      </c>
      <c r="K418" s="3">
        <f t="shared" si="13"/>
        <v>1</v>
      </c>
    </row>
    <row r="419" spans="1:11" x14ac:dyDescent="0.25">
      <c r="A419" s="3">
        <v>10</v>
      </c>
      <c r="B419" s="13">
        <v>46258.496365740699</v>
      </c>
      <c r="C419" s="3" t="s">
        <v>21</v>
      </c>
      <c r="D419" s="5">
        <v>0.89300000000000002</v>
      </c>
      <c r="E419" s="3" t="s">
        <v>14</v>
      </c>
      <c r="F419" s="5">
        <v>140.61000000000001</v>
      </c>
      <c r="G419" s="3" t="s">
        <v>21</v>
      </c>
      <c r="H419" s="3">
        <f t="shared" si="12"/>
        <v>1</v>
      </c>
      <c r="K419" s="3" t="str">
        <f t="shared" si="13"/>
        <v/>
      </c>
    </row>
    <row r="420" spans="1:11" x14ac:dyDescent="0.25">
      <c r="A420" s="3">
        <v>10</v>
      </c>
      <c r="B420" s="13">
        <v>46258.496504629598</v>
      </c>
      <c r="C420" s="3" t="s">
        <v>31</v>
      </c>
      <c r="D420" s="5">
        <v>0.88600000000000001</v>
      </c>
      <c r="E420" s="3" t="s">
        <v>14</v>
      </c>
      <c r="F420" s="5">
        <v>150.43899999999999</v>
      </c>
      <c r="G420" s="3" t="s">
        <v>31</v>
      </c>
      <c r="H420" s="3">
        <f t="shared" si="12"/>
        <v>1</v>
      </c>
      <c r="K420" s="3" t="str">
        <f t="shared" si="13"/>
        <v/>
      </c>
    </row>
    <row r="421" spans="1:11" x14ac:dyDescent="0.25">
      <c r="A421" s="3">
        <v>10</v>
      </c>
      <c r="B421" s="13">
        <v>46258.496782407397</v>
      </c>
      <c r="C421" s="3" t="s">
        <v>18</v>
      </c>
      <c r="D421" s="5">
        <v>0.80300000000000005</v>
      </c>
      <c r="E421" s="3" t="s">
        <v>14</v>
      </c>
      <c r="F421" s="5">
        <v>144.21799999999999</v>
      </c>
      <c r="G421" s="3" t="s">
        <v>15</v>
      </c>
      <c r="H421" s="3">
        <f t="shared" si="12"/>
        <v>0</v>
      </c>
      <c r="I421" s="3">
        <v>1</v>
      </c>
      <c r="J421" s="3" t="s">
        <v>18</v>
      </c>
      <c r="K421" s="3">
        <f t="shared" si="13"/>
        <v>0</v>
      </c>
    </row>
    <row r="422" spans="1:11" x14ac:dyDescent="0.25">
      <c r="A422" s="3">
        <v>10</v>
      </c>
      <c r="B422" s="13">
        <v>46258.497002314798</v>
      </c>
      <c r="C422" s="3" t="s">
        <v>39</v>
      </c>
      <c r="D422" s="5">
        <v>0.95899999999999996</v>
      </c>
      <c r="E422" s="3" t="s">
        <v>14</v>
      </c>
      <c r="F422" s="5">
        <v>103.593</v>
      </c>
      <c r="G422" s="3" t="s">
        <v>39</v>
      </c>
      <c r="H422" s="3">
        <f t="shared" si="12"/>
        <v>1</v>
      </c>
      <c r="I422" s="3">
        <v>1</v>
      </c>
      <c r="J422" s="3" t="s">
        <v>39</v>
      </c>
      <c r="K422" s="3">
        <f t="shared" si="13"/>
        <v>1</v>
      </c>
    </row>
    <row r="423" spans="1:11" x14ac:dyDescent="0.25">
      <c r="A423" s="3">
        <v>10</v>
      </c>
      <c r="B423" s="13">
        <v>46258.497337963003</v>
      </c>
      <c r="C423" s="3" t="s">
        <v>37</v>
      </c>
      <c r="D423" s="5">
        <v>0.81299999999999994</v>
      </c>
      <c r="E423" s="3" t="s">
        <v>14</v>
      </c>
      <c r="F423" s="5">
        <v>110.411</v>
      </c>
      <c r="G423" s="3" t="s">
        <v>20</v>
      </c>
      <c r="H423" s="3">
        <f t="shared" si="12"/>
        <v>0</v>
      </c>
      <c r="I423" s="3">
        <v>1</v>
      </c>
      <c r="J423" s="3" t="s">
        <v>37</v>
      </c>
      <c r="K423" s="3">
        <f t="shared" si="13"/>
        <v>0</v>
      </c>
    </row>
    <row r="424" spans="1:11" x14ac:dyDescent="0.25">
      <c r="A424" s="3">
        <v>10</v>
      </c>
      <c r="B424" s="13">
        <v>46258.497662037</v>
      </c>
      <c r="C424" s="3" t="s">
        <v>25</v>
      </c>
      <c r="D424" s="5">
        <v>0.99</v>
      </c>
      <c r="E424" s="3" t="s">
        <v>14</v>
      </c>
      <c r="F424" s="5">
        <v>128.959</v>
      </c>
      <c r="G424" s="3" t="s">
        <v>25</v>
      </c>
      <c r="H424" s="3">
        <f t="shared" si="12"/>
        <v>1</v>
      </c>
      <c r="K424" s="3" t="str">
        <f t="shared" si="13"/>
        <v/>
      </c>
    </row>
    <row r="425" spans="1:11" x14ac:dyDescent="0.25">
      <c r="A425" s="3">
        <v>10</v>
      </c>
      <c r="B425" s="13">
        <v>46258.497800925899</v>
      </c>
      <c r="C425" s="3" t="s">
        <v>18</v>
      </c>
      <c r="D425" s="5">
        <v>0.97099999999999997</v>
      </c>
      <c r="E425" s="3" t="s">
        <v>14</v>
      </c>
      <c r="F425" s="5">
        <v>111.804</v>
      </c>
      <c r="G425" s="3" t="s">
        <v>18</v>
      </c>
      <c r="H425" s="3">
        <f t="shared" si="12"/>
        <v>1</v>
      </c>
      <c r="I425" s="3">
        <v>1</v>
      </c>
      <c r="J425" s="3" t="s">
        <v>18</v>
      </c>
      <c r="K425" s="3">
        <f t="shared" si="13"/>
        <v>1</v>
      </c>
    </row>
    <row r="426" spans="1:11" x14ac:dyDescent="0.25">
      <c r="A426" s="3">
        <v>10</v>
      </c>
      <c r="B426" s="13">
        <v>46258.497974537</v>
      </c>
      <c r="C426" s="3" t="s">
        <v>29</v>
      </c>
      <c r="D426" s="5">
        <v>0.81100000000000005</v>
      </c>
      <c r="E426" s="3" t="s">
        <v>14</v>
      </c>
      <c r="F426" s="5">
        <v>92.11</v>
      </c>
      <c r="G426" s="3" t="s">
        <v>17</v>
      </c>
      <c r="H426" s="3">
        <f t="shared" si="12"/>
        <v>0</v>
      </c>
      <c r="I426" s="3">
        <v>1</v>
      </c>
      <c r="J426" s="3" t="s">
        <v>29</v>
      </c>
      <c r="K426" s="3">
        <f t="shared" si="13"/>
        <v>0</v>
      </c>
    </row>
    <row r="427" spans="1:11" x14ac:dyDescent="0.25">
      <c r="A427" s="3">
        <v>10</v>
      </c>
      <c r="B427" s="13">
        <v>46258.498229166697</v>
      </c>
      <c r="C427" s="3" t="s">
        <v>29</v>
      </c>
      <c r="D427" s="5">
        <v>0.92</v>
      </c>
      <c r="E427" s="3" t="s">
        <v>14</v>
      </c>
      <c r="F427" s="5">
        <v>141.1</v>
      </c>
      <c r="G427" s="3" t="s">
        <v>29</v>
      </c>
      <c r="H427" s="3">
        <f t="shared" si="12"/>
        <v>1</v>
      </c>
      <c r="I427" s="3">
        <v>1</v>
      </c>
      <c r="J427" s="3" t="s">
        <v>29</v>
      </c>
      <c r="K427" s="3">
        <f t="shared" si="13"/>
        <v>1</v>
      </c>
    </row>
    <row r="428" spans="1:11" x14ac:dyDescent="0.25">
      <c r="A428" s="3">
        <v>10</v>
      </c>
      <c r="B428" s="13">
        <v>46258.498541666697</v>
      </c>
      <c r="C428" s="3" t="s">
        <v>34</v>
      </c>
      <c r="D428" s="5">
        <v>0.98599999999999999</v>
      </c>
      <c r="E428" s="3" t="s">
        <v>14</v>
      </c>
      <c r="F428" s="5">
        <v>131.88200000000001</v>
      </c>
      <c r="G428" s="3" t="s">
        <v>34</v>
      </c>
      <c r="H428" s="3">
        <f t="shared" si="12"/>
        <v>1</v>
      </c>
      <c r="I428" s="3">
        <v>1</v>
      </c>
      <c r="J428" s="3" t="s">
        <v>34</v>
      </c>
      <c r="K428" s="3">
        <f t="shared" si="13"/>
        <v>1</v>
      </c>
    </row>
    <row r="429" spans="1:11" x14ac:dyDescent="0.25">
      <c r="A429" s="3">
        <v>10</v>
      </c>
      <c r="B429" s="13">
        <v>46258.499016203699</v>
      </c>
      <c r="C429" s="3" t="s">
        <v>21</v>
      </c>
      <c r="D429" s="5">
        <v>0.95799999999999996</v>
      </c>
      <c r="E429" s="3" t="s">
        <v>14</v>
      </c>
      <c r="F429" s="5">
        <v>102.422</v>
      </c>
      <c r="G429" s="3" t="s">
        <v>21</v>
      </c>
      <c r="H429" s="3">
        <f t="shared" si="12"/>
        <v>1</v>
      </c>
      <c r="K429" s="3" t="str">
        <f t="shared" si="13"/>
        <v/>
      </c>
    </row>
    <row r="430" spans="1:11" x14ac:dyDescent="0.25">
      <c r="A430" s="3">
        <v>10</v>
      </c>
      <c r="B430" s="13">
        <v>46258.499166666697</v>
      </c>
      <c r="C430" s="3" t="s">
        <v>36</v>
      </c>
      <c r="D430" s="5">
        <v>0.94</v>
      </c>
      <c r="E430" s="3" t="s">
        <v>14</v>
      </c>
      <c r="F430" s="5">
        <v>180.55099999999999</v>
      </c>
      <c r="G430" s="3" t="s">
        <v>36</v>
      </c>
      <c r="H430" s="3">
        <f t="shared" si="12"/>
        <v>1</v>
      </c>
      <c r="I430" s="3">
        <v>1</v>
      </c>
      <c r="J430" s="3" t="s">
        <v>36</v>
      </c>
      <c r="K430" s="3">
        <f t="shared" si="13"/>
        <v>1</v>
      </c>
    </row>
    <row r="431" spans="1:11" x14ac:dyDescent="0.25">
      <c r="A431" s="3">
        <v>10</v>
      </c>
      <c r="B431" s="13">
        <v>46258.499398148197</v>
      </c>
      <c r="C431" s="3" t="s">
        <v>24</v>
      </c>
      <c r="D431" s="5">
        <v>0.876</v>
      </c>
      <c r="E431" s="3" t="s">
        <v>14</v>
      </c>
      <c r="F431" s="5">
        <v>96.430999999999997</v>
      </c>
      <c r="G431" s="3" t="s">
        <v>24</v>
      </c>
      <c r="H431" s="3">
        <f t="shared" si="12"/>
        <v>1</v>
      </c>
      <c r="K431" s="3" t="str">
        <f t="shared" si="13"/>
        <v/>
      </c>
    </row>
    <row r="432" spans="1:11" x14ac:dyDescent="0.25">
      <c r="A432" s="3">
        <v>10</v>
      </c>
      <c r="B432" s="13">
        <v>46258.4995023148</v>
      </c>
      <c r="C432" s="3" t="s">
        <v>25</v>
      </c>
      <c r="D432" s="5">
        <v>0.99</v>
      </c>
      <c r="E432" s="3" t="s">
        <v>14</v>
      </c>
      <c r="F432" s="5">
        <v>152.14500000000001</v>
      </c>
      <c r="G432" s="3" t="s">
        <v>25</v>
      </c>
      <c r="H432" s="3">
        <f t="shared" si="12"/>
        <v>1</v>
      </c>
      <c r="K432" s="3" t="str">
        <f t="shared" si="13"/>
        <v/>
      </c>
    </row>
    <row r="433" spans="1:11" x14ac:dyDescent="0.25">
      <c r="A433" s="3">
        <v>10</v>
      </c>
      <c r="B433" s="13">
        <v>46258.499699074098</v>
      </c>
      <c r="C433" s="3" t="s">
        <v>23</v>
      </c>
      <c r="D433" s="5">
        <v>0.97699999999999998</v>
      </c>
      <c r="E433" s="3" t="s">
        <v>14</v>
      </c>
      <c r="F433" s="5">
        <v>138.22800000000001</v>
      </c>
      <c r="G433" s="3" t="s">
        <v>23</v>
      </c>
      <c r="H433" s="3">
        <f t="shared" si="12"/>
        <v>1</v>
      </c>
      <c r="I433" s="3">
        <v>1</v>
      </c>
      <c r="J433" s="3" t="s">
        <v>23</v>
      </c>
      <c r="K433" s="3">
        <f t="shared" si="13"/>
        <v>1</v>
      </c>
    </row>
    <row r="434" spans="1:11" x14ac:dyDescent="0.25">
      <c r="A434" s="3">
        <v>10</v>
      </c>
      <c r="B434" s="13">
        <v>46258.499918981499</v>
      </c>
      <c r="C434" s="3" t="s">
        <v>18</v>
      </c>
      <c r="D434" s="5">
        <v>0.88900000000000001</v>
      </c>
      <c r="E434" s="3" t="s">
        <v>14</v>
      </c>
      <c r="F434" s="5">
        <v>115.477</v>
      </c>
      <c r="G434" s="3" t="s">
        <v>18</v>
      </c>
      <c r="H434" s="3">
        <f t="shared" si="12"/>
        <v>1</v>
      </c>
      <c r="I434" s="3">
        <v>1</v>
      </c>
      <c r="J434" s="3" t="s">
        <v>18</v>
      </c>
      <c r="K434" s="3">
        <f t="shared" si="13"/>
        <v>1</v>
      </c>
    </row>
    <row r="435" spans="1:11" x14ac:dyDescent="0.25">
      <c r="A435" s="3">
        <v>10</v>
      </c>
      <c r="B435" s="13">
        <v>46258.500231481499</v>
      </c>
      <c r="C435" s="3" t="s">
        <v>16</v>
      </c>
      <c r="D435" s="5">
        <v>0.90300000000000002</v>
      </c>
      <c r="E435" s="3" t="s">
        <v>14</v>
      </c>
      <c r="F435" s="5">
        <v>131.95699999999999</v>
      </c>
      <c r="G435" s="3" t="s">
        <v>16</v>
      </c>
      <c r="H435" s="3">
        <f t="shared" si="12"/>
        <v>1</v>
      </c>
      <c r="K435" s="3" t="str">
        <f t="shared" si="13"/>
        <v/>
      </c>
    </row>
    <row r="436" spans="1:11" x14ac:dyDescent="0.25">
      <c r="A436" s="3">
        <v>10</v>
      </c>
      <c r="B436" s="13">
        <v>46258.500428240703</v>
      </c>
      <c r="C436" s="3" t="s">
        <v>15</v>
      </c>
      <c r="D436" s="5">
        <v>0.95199999999999996</v>
      </c>
      <c r="E436" s="3" t="s">
        <v>14</v>
      </c>
      <c r="F436" s="5">
        <v>136.72</v>
      </c>
      <c r="G436" s="3" t="s">
        <v>15</v>
      </c>
      <c r="H436" s="3">
        <f t="shared" si="12"/>
        <v>1</v>
      </c>
      <c r="I436" s="3">
        <v>1</v>
      </c>
      <c r="J436" s="3" t="s">
        <v>15</v>
      </c>
      <c r="K436" s="3">
        <f t="shared" si="13"/>
        <v>1</v>
      </c>
    </row>
    <row r="437" spans="1:11" x14ac:dyDescent="0.25">
      <c r="A437" s="3">
        <v>10</v>
      </c>
      <c r="B437" s="13">
        <v>46258.5008564815</v>
      </c>
      <c r="C437" s="3" t="s">
        <v>38</v>
      </c>
      <c r="D437" s="5">
        <v>0.93700000000000006</v>
      </c>
      <c r="E437" s="3" t="s">
        <v>14</v>
      </c>
      <c r="F437" s="5">
        <v>105.438</v>
      </c>
      <c r="G437" s="3" t="s">
        <v>38</v>
      </c>
      <c r="H437" s="3">
        <f t="shared" si="12"/>
        <v>1</v>
      </c>
      <c r="K437" s="3" t="str">
        <f t="shared" si="13"/>
        <v/>
      </c>
    </row>
    <row r="438" spans="1:11" x14ac:dyDescent="0.25">
      <c r="A438" s="3">
        <v>10</v>
      </c>
      <c r="B438" s="13">
        <v>46258.501111111102</v>
      </c>
      <c r="C438" s="3" t="s">
        <v>20</v>
      </c>
      <c r="D438" s="5">
        <v>0.84599999999999997</v>
      </c>
      <c r="E438" s="3" t="s">
        <v>12</v>
      </c>
      <c r="F438" s="5">
        <v>141.57900000000001</v>
      </c>
      <c r="G438" s="3" t="s">
        <v>20</v>
      </c>
      <c r="H438" s="3">
        <f t="shared" si="12"/>
        <v>1</v>
      </c>
      <c r="I438" s="3">
        <v>1</v>
      </c>
      <c r="J438" s="3" t="s">
        <v>20</v>
      </c>
      <c r="K438" s="3">
        <f t="shared" si="13"/>
        <v>1</v>
      </c>
    </row>
    <row r="439" spans="1:11" x14ac:dyDescent="0.25">
      <c r="A439" s="3">
        <v>10</v>
      </c>
      <c r="B439" s="13">
        <v>46258.5013078704</v>
      </c>
      <c r="C439" s="3" t="s">
        <v>25</v>
      </c>
      <c r="D439" s="5">
        <v>0.83399999999999996</v>
      </c>
      <c r="E439" s="3" t="s">
        <v>14</v>
      </c>
      <c r="F439" s="5">
        <v>139.017</v>
      </c>
      <c r="G439" s="3" t="s">
        <v>36</v>
      </c>
      <c r="H439" s="3">
        <f t="shared" si="12"/>
        <v>0</v>
      </c>
      <c r="K439" s="3" t="str">
        <f t="shared" si="13"/>
        <v/>
      </c>
    </row>
    <row r="440" spans="1:11" x14ac:dyDescent="0.25">
      <c r="A440" s="3">
        <v>10</v>
      </c>
      <c r="B440" s="13">
        <v>46258.501446759299</v>
      </c>
      <c r="C440" s="3" t="s">
        <v>27</v>
      </c>
      <c r="D440" s="5">
        <v>0.84</v>
      </c>
      <c r="E440" s="3" t="s">
        <v>12</v>
      </c>
      <c r="F440" s="5">
        <v>173.77500000000001</v>
      </c>
      <c r="G440" s="3" t="s">
        <v>27</v>
      </c>
      <c r="H440" s="3">
        <f t="shared" si="12"/>
        <v>1</v>
      </c>
      <c r="K440" s="3" t="str">
        <f t="shared" si="13"/>
        <v/>
      </c>
    </row>
    <row r="441" spans="1:11" x14ac:dyDescent="0.25">
      <c r="A441" s="3">
        <v>11</v>
      </c>
      <c r="B441" s="13">
        <v>46258.5062847222</v>
      </c>
      <c r="C441" s="3" t="s">
        <v>11</v>
      </c>
      <c r="D441" s="5">
        <v>0.89400000000000002</v>
      </c>
      <c r="E441" s="3" t="s">
        <v>12</v>
      </c>
      <c r="F441" s="5">
        <v>121.259</v>
      </c>
      <c r="G441" s="3" t="s">
        <v>27</v>
      </c>
      <c r="H441" s="3">
        <f t="shared" si="12"/>
        <v>0</v>
      </c>
      <c r="K441" s="3" t="str">
        <f t="shared" si="13"/>
        <v/>
      </c>
    </row>
    <row r="442" spans="1:11" x14ac:dyDescent="0.25">
      <c r="A442" s="3">
        <v>11</v>
      </c>
      <c r="B442" s="13">
        <v>46258.5065046296</v>
      </c>
      <c r="C442" s="3" t="s">
        <v>37</v>
      </c>
      <c r="D442" s="5">
        <v>0.71799999999999997</v>
      </c>
      <c r="E442" s="3" t="s">
        <v>14</v>
      </c>
      <c r="F442" s="5">
        <v>110.886</v>
      </c>
      <c r="G442" s="3" t="s">
        <v>20</v>
      </c>
      <c r="H442" s="3">
        <f t="shared" si="12"/>
        <v>0</v>
      </c>
      <c r="K442" s="3" t="str">
        <f t="shared" si="13"/>
        <v/>
      </c>
    </row>
    <row r="443" spans="1:11" x14ac:dyDescent="0.25">
      <c r="A443" s="3">
        <v>11</v>
      </c>
      <c r="B443" s="13">
        <v>46258.5067361111</v>
      </c>
      <c r="C443" s="3" t="s">
        <v>23</v>
      </c>
      <c r="D443" s="5">
        <v>0.92600000000000005</v>
      </c>
      <c r="E443" s="3" t="s">
        <v>14</v>
      </c>
      <c r="F443" s="5">
        <v>109.361</v>
      </c>
      <c r="G443" s="3" t="s">
        <v>23</v>
      </c>
      <c r="H443" s="3">
        <f t="shared" si="12"/>
        <v>1</v>
      </c>
      <c r="K443" s="3" t="str">
        <f t="shared" si="13"/>
        <v/>
      </c>
    </row>
    <row r="444" spans="1:11" x14ac:dyDescent="0.25">
      <c r="A444" s="3">
        <v>11</v>
      </c>
      <c r="B444" s="13">
        <v>46258.506874999999</v>
      </c>
      <c r="C444" s="3" t="s">
        <v>28</v>
      </c>
      <c r="D444" s="5">
        <v>0.93899999999999995</v>
      </c>
      <c r="E444" s="3" t="s">
        <v>14</v>
      </c>
      <c r="F444" s="5">
        <v>98.525999999999996</v>
      </c>
      <c r="G444" s="3" t="s">
        <v>28</v>
      </c>
      <c r="H444" s="3">
        <f t="shared" si="12"/>
        <v>1</v>
      </c>
      <c r="K444" s="3" t="str">
        <f t="shared" si="13"/>
        <v/>
      </c>
    </row>
    <row r="445" spans="1:11" x14ac:dyDescent="0.25">
      <c r="A445" s="3">
        <v>11</v>
      </c>
      <c r="B445" s="13">
        <v>46258.507175925901</v>
      </c>
      <c r="C445" s="3" t="s">
        <v>24</v>
      </c>
      <c r="D445" s="5">
        <v>0.83399999999999996</v>
      </c>
      <c r="E445" s="3" t="s">
        <v>14</v>
      </c>
      <c r="F445" s="5">
        <v>124.56699999999999</v>
      </c>
      <c r="G445" s="3" t="s">
        <v>24</v>
      </c>
      <c r="H445" s="3">
        <f t="shared" si="12"/>
        <v>1</v>
      </c>
      <c r="K445" s="3" t="str">
        <f t="shared" si="13"/>
        <v/>
      </c>
    </row>
    <row r="446" spans="1:11" x14ac:dyDescent="0.25">
      <c r="A446" s="3">
        <v>11</v>
      </c>
      <c r="B446" s="13">
        <v>46258.507395833301</v>
      </c>
      <c r="C446" s="3" t="s">
        <v>18</v>
      </c>
      <c r="D446" s="5">
        <v>0.82099999999999995</v>
      </c>
      <c r="E446" s="3" t="s">
        <v>14</v>
      </c>
      <c r="F446" s="5">
        <v>126.887</v>
      </c>
      <c r="G446" s="3" t="s">
        <v>18</v>
      </c>
      <c r="H446" s="3">
        <f t="shared" si="12"/>
        <v>1</v>
      </c>
      <c r="K446" s="3" t="str">
        <f t="shared" si="13"/>
        <v/>
      </c>
    </row>
    <row r="447" spans="1:11" x14ac:dyDescent="0.25">
      <c r="A447" s="3">
        <v>11</v>
      </c>
      <c r="B447" s="13">
        <v>46258.507627314801</v>
      </c>
      <c r="C447" s="3" t="s">
        <v>15</v>
      </c>
      <c r="D447" s="5">
        <v>0.79900000000000004</v>
      </c>
      <c r="E447" s="3" t="s">
        <v>14</v>
      </c>
      <c r="F447" s="5">
        <v>120.643</v>
      </c>
      <c r="G447" s="3" t="s">
        <v>15</v>
      </c>
      <c r="H447" s="3">
        <f t="shared" si="12"/>
        <v>1</v>
      </c>
      <c r="K447" s="3" t="str">
        <f t="shared" si="13"/>
        <v/>
      </c>
    </row>
    <row r="448" spans="1:11" x14ac:dyDescent="0.25">
      <c r="A448" s="3">
        <v>11</v>
      </c>
      <c r="B448" s="13">
        <v>46258.5078125</v>
      </c>
      <c r="C448" s="3" t="s">
        <v>30</v>
      </c>
      <c r="D448" s="5">
        <v>0.93300000000000005</v>
      </c>
      <c r="E448" s="3" t="s">
        <v>14</v>
      </c>
      <c r="F448" s="5">
        <v>131.43700000000001</v>
      </c>
      <c r="G448" s="3" t="s">
        <v>30</v>
      </c>
      <c r="H448" s="3">
        <f t="shared" si="12"/>
        <v>1</v>
      </c>
      <c r="K448" s="3" t="str">
        <f t="shared" si="13"/>
        <v/>
      </c>
    </row>
    <row r="449" spans="1:11" x14ac:dyDescent="0.25">
      <c r="A449" s="3">
        <v>11</v>
      </c>
      <c r="B449" s="13">
        <v>46258.507928240702</v>
      </c>
      <c r="C449" s="3" t="s">
        <v>19</v>
      </c>
      <c r="D449" s="5">
        <v>0.77100000000000002</v>
      </c>
      <c r="E449" s="3" t="s">
        <v>14</v>
      </c>
      <c r="F449" s="5">
        <v>147.78700000000001</v>
      </c>
      <c r="G449" s="3" t="s">
        <v>19</v>
      </c>
      <c r="H449" s="3">
        <f t="shared" si="12"/>
        <v>1</v>
      </c>
      <c r="I449" s="3">
        <v>1</v>
      </c>
      <c r="J449" s="3" t="s">
        <v>19</v>
      </c>
      <c r="K449" s="3">
        <f t="shared" si="13"/>
        <v>1</v>
      </c>
    </row>
    <row r="450" spans="1:11" x14ac:dyDescent="0.25">
      <c r="A450" s="3">
        <v>11</v>
      </c>
      <c r="B450" s="13">
        <v>46258.508136574099</v>
      </c>
      <c r="C450" s="3" t="s">
        <v>21</v>
      </c>
      <c r="D450" s="5">
        <v>0.88900000000000001</v>
      </c>
      <c r="E450" s="3" t="s">
        <v>14</v>
      </c>
      <c r="F450" s="5">
        <v>120.11</v>
      </c>
      <c r="G450" s="3" t="s">
        <v>21</v>
      </c>
      <c r="H450" s="3">
        <f t="shared" ref="H450:H513" si="14">IF(C450=G450,1,0)</f>
        <v>1</v>
      </c>
      <c r="K450" s="3" t="str">
        <f t="shared" ref="K450:K513" si="15">IF(J450="","",IF(J450=G450,1,0))</f>
        <v/>
      </c>
    </row>
    <row r="451" spans="1:11" x14ac:dyDescent="0.25">
      <c r="A451" s="3">
        <v>11</v>
      </c>
      <c r="B451" s="13">
        <v>46258.508344907401</v>
      </c>
      <c r="C451" s="3" t="s">
        <v>33</v>
      </c>
      <c r="D451" s="5">
        <v>0.82599999999999996</v>
      </c>
      <c r="E451" s="3" t="s">
        <v>14</v>
      </c>
      <c r="F451" s="5">
        <v>108.873</v>
      </c>
      <c r="G451" s="3" t="s">
        <v>33</v>
      </c>
      <c r="H451" s="3">
        <f t="shared" si="14"/>
        <v>1</v>
      </c>
      <c r="K451" s="3" t="str">
        <f t="shared" si="15"/>
        <v/>
      </c>
    </row>
    <row r="452" spans="1:11" x14ac:dyDescent="0.25">
      <c r="A452" s="3">
        <v>11</v>
      </c>
      <c r="B452" s="13">
        <v>46258.508506944498</v>
      </c>
      <c r="C452" s="3" t="s">
        <v>29</v>
      </c>
      <c r="D452" s="5">
        <v>0.79</v>
      </c>
      <c r="E452" s="3" t="s">
        <v>14</v>
      </c>
      <c r="F452" s="5">
        <v>139.20400000000001</v>
      </c>
      <c r="G452" s="3" t="s">
        <v>29</v>
      </c>
      <c r="H452" s="3">
        <f t="shared" si="14"/>
        <v>1</v>
      </c>
      <c r="I452" s="3">
        <v>1</v>
      </c>
      <c r="J452" s="3" t="s">
        <v>29</v>
      </c>
      <c r="K452" s="3">
        <f t="shared" si="15"/>
        <v>1</v>
      </c>
    </row>
    <row r="453" spans="1:11" x14ac:dyDescent="0.25">
      <c r="A453" s="3">
        <v>11</v>
      </c>
      <c r="B453" s="13">
        <v>46258.508680555598</v>
      </c>
      <c r="C453" s="3" t="s">
        <v>36</v>
      </c>
      <c r="D453" s="5">
        <v>0.878</v>
      </c>
      <c r="E453" s="3" t="s">
        <v>14</v>
      </c>
      <c r="F453" s="5">
        <v>143.119</v>
      </c>
      <c r="G453" s="3" t="s">
        <v>36</v>
      </c>
      <c r="H453" s="3">
        <f t="shared" si="14"/>
        <v>1</v>
      </c>
      <c r="K453" s="3" t="str">
        <f t="shared" si="15"/>
        <v/>
      </c>
    </row>
    <row r="454" spans="1:11" x14ac:dyDescent="0.25">
      <c r="A454" s="3">
        <v>11</v>
      </c>
      <c r="B454" s="13">
        <v>46258.508923611102</v>
      </c>
      <c r="C454" s="3" t="s">
        <v>17</v>
      </c>
      <c r="D454" s="5">
        <v>0.94099999999999995</v>
      </c>
      <c r="E454" s="3" t="s">
        <v>14</v>
      </c>
      <c r="F454" s="5">
        <v>122.801</v>
      </c>
      <c r="G454" s="3" t="s">
        <v>17</v>
      </c>
      <c r="H454" s="3">
        <f t="shared" si="14"/>
        <v>1</v>
      </c>
      <c r="K454" s="3" t="str">
        <f t="shared" si="15"/>
        <v/>
      </c>
    </row>
    <row r="455" spans="1:11" x14ac:dyDescent="0.25">
      <c r="A455" s="3">
        <v>11</v>
      </c>
      <c r="B455" s="13">
        <v>46258.5090277778</v>
      </c>
      <c r="C455" s="3" t="s">
        <v>39</v>
      </c>
      <c r="D455" s="5">
        <v>0.65800000000000003</v>
      </c>
      <c r="E455" s="3" t="s">
        <v>14</v>
      </c>
      <c r="F455" s="5">
        <v>133.84299999999999</v>
      </c>
      <c r="G455" s="3" t="s">
        <v>34</v>
      </c>
      <c r="H455" s="3">
        <f t="shared" si="14"/>
        <v>0</v>
      </c>
      <c r="K455" s="3" t="str">
        <f t="shared" si="15"/>
        <v/>
      </c>
    </row>
    <row r="456" spans="1:11" x14ac:dyDescent="0.25">
      <c r="A456" s="3">
        <v>11</v>
      </c>
      <c r="B456" s="13">
        <v>46258.509131944498</v>
      </c>
      <c r="C456" s="3" t="s">
        <v>34</v>
      </c>
      <c r="D456" s="5">
        <v>0.74199999999999999</v>
      </c>
      <c r="E456" s="3" t="s">
        <v>14</v>
      </c>
      <c r="F456" s="5">
        <v>123.988</v>
      </c>
      <c r="G456" s="3" t="s">
        <v>39</v>
      </c>
      <c r="H456" s="3">
        <f t="shared" si="14"/>
        <v>0</v>
      </c>
      <c r="K456" s="3" t="str">
        <f t="shared" si="15"/>
        <v/>
      </c>
    </row>
    <row r="457" spans="1:11" x14ac:dyDescent="0.25">
      <c r="A457" s="3">
        <v>11</v>
      </c>
      <c r="B457" s="13">
        <v>46258.5092939815</v>
      </c>
      <c r="C457" s="3" t="s">
        <v>26</v>
      </c>
      <c r="D457" s="5">
        <v>0.80200000000000005</v>
      </c>
      <c r="E457" s="3" t="s">
        <v>14</v>
      </c>
      <c r="F457" s="5">
        <v>116.42700000000001</v>
      </c>
      <c r="G457" s="3" t="s">
        <v>26</v>
      </c>
      <c r="H457" s="3">
        <f t="shared" si="14"/>
        <v>1</v>
      </c>
      <c r="K457" s="3" t="str">
        <f t="shared" si="15"/>
        <v/>
      </c>
    </row>
    <row r="458" spans="1:11" x14ac:dyDescent="0.25">
      <c r="A458" s="3">
        <v>11</v>
      </c>
      <c r="B458" s="13">
        <v>46258.509421296301</v>
      </c>
      <c r="C458" s="3" t="s">
        <v>32</v>
      </c>
      <c r="D458" s="5">
        <v>0.80500000000000005</v>
      </c>
      <c r="E458" s="3" t="s">
        <v>14</v>
      </c>
      <c r="F458" s="5">
        <v>131.80199999999999</v>
      </c>
      <c r="G458" s="3" t="s">
        <v>32</v>
      </c>
      <c r="H458" s="3">
        <f t="shared" si="14"/>
        <v>1</v>
      </c>
      <c r="K458" s="3" t="str">
        <f t="shared" si="15"/>
        <v/>
      </c>
    </row>
    <row r="459" spans="1:11" x14ac:dyDescent="0.25">
      <c r="A459" s="3">
        <v>11</v>
      </c>
      <c r="B459" s="13">
        <v>46258.509571759299</v>
      </c>
      <c r="C459" s="3" t="s">
        <v>22</v>
      </c>
      <c r="D459" s="5">
        <v>0.873</v>
      </c>
      <c r="E459" s="3" t="s">
        <v>14</v>
      </c>
      <c r="F459" s="5">
        <v>141.166</v>
      </c>
      <c r="G459" s="3" t="s">
        <v>22</v>
      </c>
      <c r="H459" s="3">
        <f t="shared" si="14"/>
        <v>1</v>
      </c>
      <c r="I459" s="3">
        <v>1</v>
      </c>
      <c r="J459" s="3" t="s">
        <v>22</v>
      </c>
      <c r="K459" s="3">
        <f t="shared" si="15"/>
        <v>1</v>
      </c>
    </row>
    <row r="460" spans="1:11" x14ac:dyDescent="0.25">
      <c r="A460" s="3">
        <v>11</v>
      </c>
      <c r="B460" s="13">
        <v>46258.509837963</v>
      </c>
      <c r="C460" s="3" t="s">
        <v>11</v>
      </c>
      <c r="D460" s="5">
        <v>0.877</v>
      </c>
      <c r="E460" s="3" t="s">
        <v>12</v>
      </c>
      <c r="F460" s="5">
        <v>139.66499999999999</v>
      </c>
      <c r="G460" s="3" t="s">
        <v>11</v>
      </c>
      <c r="H460" s="3">
        <f t="shared" si="14"/>
        <v>1</v>
      </c>
      <c r="K460" s="3" t="str">
        <f t="shared" si="15"/>
        <v/>
      </c>
    </row>
    <row r="461" spans="1:11" x14ac:dyDescent="0.25">
      <c r="A461" s="3">
        <v>11</v>
      </c>
      <c r="B461" s="13">
        <v>46258.5100578704</v>
      </c>
      <c r="C461" s="3" t="s">
        <v>25</v>
      </c>
      <c r="D461" s="5">
        <v>0.88700000000000001</v>
      </c>
      <c r="E461" s="3" t="s">
        <v>14</v>
      </c>
      <c r="F461" s="5">
        <v>119.867</v>
      </c>
      <c r="G461" s="3" t="s">
        <v>25</v>
      </c>
      <c r="H461" s="3">
        <f t="shared" si="14"/>
        <v>1</v>
      </c>
      <c r="I461" s="3">
        <v>1</v>
      </c>
      <c r="J461" s="3" t="s">
        <v>25</v>
      </c>
      <c r="K461" s="3">
        <f t="shared" si="15"/>
        <v>1</v>
      </c>
    </row>
    <row r="462" spans="1:11" x14ac:dyDescent="0.25">
      <c r="A462" s="3">
        <v>11</v>
      </c>
      <c r="B462" s="13">
        <v>46258.510231481501</v>
      </c>
      <c r="C462" s="3" t="s">
        <v>20</v>
      </c>
      <c r="D462" s="5">
        <v>0.79</v>
      </c>
      <c r="E462" s="3" t="s">
        <v>12</v>
      </c>
      <c r="F462" s="5">
        <v>159.11799999999999</v>
      </c>
      <c r="G462" s="3" t="s">
        <v>20</v>
      </c>
      <c r="H462" s="3">
        <f t="shared" si="14"/>
        <v>1</v>
      </c>
      <c r="I462" s="3">
        <v>1</v>
      </c>
      <c r="J462" s="3" t="s">
        <v>20</v>
      </c>
      <c r="K462" s="3">
        <f t="shared" si="15"/>
        <v>1</v>
      </c>
    </row>
    <row r="463" spans="1:11" x14ac:dyDescent="0.25">
      <c r="A463" s="3">
        <v>11</v>
      </c>
      <c r="B463" s="13">
        <v>46258.510347222204</v>
      </c>
      <c r="C463" s="3" t="s">
        <v>17</v>
      </c>
      <c r="D463" s="5">
        <v>0.86899999999999999</v>
      </c>
      <c r="E463" s="3" t="s">
        <v>14</v>
      </c>
      <c r="F463" s="5">
        <v>128.36500000000001</v>
      </c>
      <c r="G463" s="3" t="s">
        <v>17</v>
      </c>
      <c r="H463" s="3">
        <f t="shared" si="14"/>
        <v>1</v>
      </c>
      <c r="I463" s="3">
        <v>1</v>
      </c>
      <c r="J463" s="3" t="s">
        <v>17</v>
      </c>
      <c r="K463" s="3">
        <f t="shared" si="15"/>
        <v>1</v>
      </c>
    </row>
    <row r="464" spans="1:11" x14ac:dyDescent="0.25">
      <c r="A464" s="3">
        <v>11</v>
      </c>
      <c r="B464" s="13">
        <v>46258.510462963</v>
      </c>
      <c r="C464" s="3" t="s">
        <v>20</v>
      </c>
      <c r="D464" s="5">
        <v>0.76200000000000001</v>
      </c>
      <c r="E464" s="3" t="s">
        <v>12</v>
      </c>
      <c r="F464" s="5">
        <v>139.43100000000001</v>
      </c>
      <c r="G464" s="3" t="s">
        <v>20</v>
      </c>
      <c r="H464" s="3">
        <f t="shared" si="14"/>
        <v>1</v>
      </c>
      <c r="K464" s="3" t="str">
        <f t="shared" si="15"/>
        <v/>
      </c>
    </row>
    <row r="465" spans="1:11" x14ac:dyDescent="0.25">
      <c r="A465" s="3">
        <v>11</v>
      </c>
      <c r="B465" s="13">
        <v>46258.510590277801</v>
      </c>
      <c r="C465" s="3" t="s">
        <v>34</v>
      </c>
      <c r="D465" s="5">
        <v>0.85899999999999999</v>
      </c>
      <c r="E465" s="3" t="s">
        <v>14</v>
      </c>
      <c r="F465" s="5">
        <v>106.905</v>
      </c>
      <c r="G465" s="3" t="s">
        <v>34</v>
      </c>
      <c r="H465" s="3">
        <f t="shared" si="14"/>
        <v>1</v>
      </c>
      <c r="I465" s="3">
        <v>1</v>
      </c>
      <c r="J465" s="3" t="s">
        <v>34</v>
      </c>
      <c r="K465" s="3">
        <f t="shared" si="15"/>
        <v>1</v>
      </c>
    </row>
    <row r="466" spans="1:11" x14ac:dyDescent="0.25">
      <c r="A466" s="3">
        <v>11</v>
      </c>
      <c r="B466" s="13">
        <v>46258.5109143519</v>
      </c>
      <c r="C466" s="3" t="s">
        <v>28</v>
      </c>
      <c r="D466" s="5">
        <v>0.85499999999999998</v>
      </c>
      <c r="E466" s="3" t="s">
        <v>14</v>
      </c>
      <c r="F466" s="5">
        <v>127.002</v>
      </c>
      <c r="G466" s="3" t="s">
        <v>28</v>
      </c>
      <c r="H466" s="3">
        <f t="shared" si="14"/>
        <v>1</v>
      </c>
      <c r="I466" s="3">
        <v>1</v>
      </c>
      <c r="J466" s="3" t="s">
        <v>28</v>
      </c>
      <c r="K466" s="3">
        <f t="shared" si="15"/>
        <v>1</v>
      </c>
    </row>
    <row r="467" spans="1:11" x14ac:dyDescent="0.25">
      <c r="A467" s="3">
        <v>11</v>
      </c>
      <c r="B467" s="13">
        <v>46258.511168981502</v>
      </c>
      <c r="C467" s="3" t="s">
        <v>18</v>
      </c>
      <c r="D467" s="5">
        <v>0.68200000000000005</v>
      </c>
      <c r="E467" s="3" t="s">
        <v>14</v>
      </c>
      <c r="F467" s="5">
        <v>129.31399999999999</v>
      </c>
      <c r="G467" s="3" t="s">
        <v>15</v>
      </c>
      <c r="H467" s="3">
        <f t="shared" si="14"/>
        <v>0</v>
      </c>
      <c r="I467" s="3">
        <v>1</v>
      </c>
      <c r="J467" s="3" t="s">
        <v>18</v>
      </c>
      <c r="K467" s="3">
        <f t="shared" si="15"/>
        <v>0</v>
      </c>
    </row>
    <row r="468" spans="1:11" x14ac:dyDescent="0.25">
      <c r="A468" s="3">
        <v>11</v>
      </c>
      <c r="B468" s="13">
        <v>46258.511377314797</v>
      </c>
      <c r="C468" s="3" t="s">
        <v>39</v>
      </c>
      <c r="D468" s="5">
        <v>0.90500000000000003</v>
      </c>
      <c r="E468" s="3" t="s">
        <v>14</v>
      </c>
      <c r="F468" s="5">
        <v>122.872</v>
      </c>
      <c r="G468" s="3" t="s">
        <v>39</v>
      </c>
      <c r="H468" s="3">
        <f t="shared" si="14"/>
        <v>1</v>
      </c>
      <c r="I468" s="3">
        <v>1</v>
      </c>
      <c r="J468" s="3" t="s">
        <v>39</v>
      </c>
      <c r="K468" s="3">
        <f t="shared" si="15"/>
        <v>1</v>
      </c>
    </row>
    <row r="469" spans="1:11" x14ac:dyDescent="0.25">
      <c r="A469" s="3">
        <v>11</v>
      </c>
      <c r="B469" s="13">
        <v>46258.511701388903</v>
      </c>
      <c r="C469" s="3" t="s">
        <v>26</v>
      </c>
      <c r="D469" s="5">
        <v>0.81799999999999995</v>
      </c>
      <c r="E469" s="3" t="s">
        <v>14</v>
      </c>
      <c r="F469" s="5">
        <v>114.501</v>
      </c>
      <c r="G469" s="3" t="s">
        <v>26</v>
      </c>
      <c r="H469" s="3">
        <f t="shared" si="14"/>
        <v>1</v>
      </c>
      <c r="K469" s="3" t="str">
        <f t="shared" si="15"/>
        <v/>
      </c>
    </row>
    <row r="470" spans="1:11" x14ac:dyDescent="0.25">
      <c r="A470" s="3">
        <v>11</v>
      </c>
      <c r="B470" s="13">
        <v>46258.511863425898</v>
      </c>
      <c r="C470" s="3" t="s">
        <v>26</v>
      </c>
      <c r="D470" s="5">
        <v>0.90900000000000003</v>
      </c>
      <c r="E470" s="3" t="s">
        <v>14</v>
      </c>
      <c r="F470" s="5">
        <v>143.93799999999999</v>
      </c>
      <c r="G470" s="3" t="s">
        <v>26</v>
      </c>
      <c r="H470" s="3">
        <f t="shared" si="14"/>
        <v>1</v>
      </c>
      <c r="K470" s="3" t="str">
        <f t="shared" si="15"/>
        <v/>
      </c>
    </row>
    <row r="471" spans="1:11" x14ac:dyDescent="0.25">
      <c r="A471" s="3">
        <v>11</v>
      </c>
      <c r="B471" s="13">
        <v>46258.512071759302</v>
      </c>
      <c r="C471" s="3" t="s">
        <v>33</v>
      </c>
      <c r="D471" s="5">
        <v>0.95099999999999996</v>
      </c>
      <c r="E471" s="3" t="s">
        <v>14</v>
      </c>
      <c r="F471" s="5">
        <v>155.411</v>
      </c>
      <c r="G471" s="3" t="s">
        <v>33</v>
      </c>
      <c r="H471" s="3">
        <f t="shared" si="14"/>
        <v>1</v>
      </c>
      <c r="K471" s="3" t="str">
        <f t="shared" si="15"/>
        <v/>
      </c>
    </row>
    <row r="472" spans="1:11" x14ac:dyDescent="0.25">
      <c r="A472" s="3">
        <v>11</v>
      </c>
      <c r="B472" s="13">
        <v>46258.512199074103</v>
      </c>
      <c r="C472" s="3" t="s">
        <v>21</v>
      </c>
      <c r="D472" s="5">
        <v>0.76700000000000002</v>
      </c>
      <c r="E472" s="3" t="s">
        <v>14</v>
      </c>
      <c r="F472" s="5">
        <v>137.53800000000001</v>
      </c>
      <c r="G472" s="3" t="s">
        <v>21</v>
      </c>
      <c r="H472" s="3">
        <f t="shared" si="14"/>
        <v>1</v>
      </c>
      <c r="K472" s="3" t="str">
        <f t="shared" si="15"/>
        <v/>
      </c>
    </row>
    <row r="473" spans="1:11" x14ac:dyDescent="0.25">
      <c r="A473" s="3">
        <v>11</v>
      </c>
      <c r="B473" s="13">
        <v>46258.512465277803</v>
      </c>
      <c r="C473" s="3" t="s">
        <v>29</v>
      </c>
      <c r="D473" s="5">
        <v>0.91</v>
      </c>
      <c r="E473" s="3" t="s">
        <v>14</v>
      </c>
      <c r="F473" s="5">
        <v>126.41500000000001</v>
      </c>
      <c r="G473" s="3" t="s">
        <v>29</v>
      </c>
      <c r="H473" s="3">
        <f t="shared" si="14"/>
        <v>1</v>
      </c>
      <c r="I473" s="3">
        <v>1</v>
      </c>
      <c r="J473" s="3" t="s">
        <v>29</v>
      </c>
      <c r="K473" s="3">
        <f t="shared" si="15"/>
        <v>1</v>
      </c>
    </row>
    <row r="474" spans="1:11" x14ac:dyDescent="0.25">
      <c r="A474" s="3">
        <v>11</v>
      </c>
      <c r="B474" s="13">
        <v>46258.512685185196</v>
      </c>
      <c r="C474" s="3" t="s">
        <v>33</v>
      </c>
      <c r="D474" s="5">
        <v>0.86399999999999999</v>
      </c>
      <c r="E474" s="3" t="s">
        <v>14</v>
      </c>
      <c r="F474" s="5">
        <v>140.63200000000001</v>
      </c>
      <c r="G474" s="3" t="s">
        <v>33</v>
      </c>
      <c r="H474" s="3">
        <f t="shared" si="14"/>
        <v>1</v>
      </c>
      <c r="K474" s="3" t="str">
        <f t="shared" si="15"/>
        <v/>
      </c>
    </row>
    <row r="475" spans="1:11" x14ac:dyDescent="0.25">
      <c r="A475" s="3">
        <v>11</v>
      </c>
      <c r="B475" s="13">
        <v>46258.512858796297</v>
      </c>
      <c r="C475" s="3" t="s">
        <v>25</v>
      </c>
      <c r="D475" s="5">
        <v>0.83399999999999996</v>
      </c>
      <c r="E475" s="3" t="s">
        <v>14</v>
      </c>
      <c r="F475" s="5">
        <v>104.247</v>
      </c>
      <c r="G475" s="3" t="s">
        <v>25</v>
      </c>
      <c r="H475" s="3">
        <f t="shared" si="14"/>
        <v>1</v>
      </c>
      <c r="I475" s="3">
        <v>1</v>
      </c>
      <c r="J475" s="3" t="s">
        <v>25</v>
      </c>
      <c r="K475" s="3">
        <f t="shared" si="15"/>
        <v>1</v>
      </c>
    </row>
    <row r="476" spans="1:11" x14ac:dyDescent="0.25">
      <c r="A476" s="3">
        <v>11</v>
      </c>
      <c r="B476" s="13">
        <v>46258.512997685197</v>
      </c>
      <c r="C476" s="3" t="s">
        <v>28</v>
      </c>
      <c r="D476" s="5">
        <v>0.71699999999999997</v>
      </c>
      <c r="E476" s="3" t="s">
        <v>14</v>
      </c>
      <c r="F476" s="5">
        <v>112.98</v>
      </c>
      <c r="G476" s="3" t="s">
        <v>22</v>
      </c>
      <c r="H476" s="3">
        <f t="shared" si="14"/>
        <v>0</v>
      </c>
      <c r="I476" s="3">
        <v>1</v>
      </c>
      <c r="J476" s="3" t="s">
        <v>28</v>
      </c>
      <c r="K476" s="3">
        <f t="shared" si="15"/>
        <v>0</v>
      </c>
    </row>
    <row r="477" spans="1:11" x14ac:dyDescent="0.25">
      <c r="A477" s="3">
        <v>11</v>
      </c>
      <c r="B477" s="13">
        <v>46258.513344907398</v>
      </c>
      <c r="C477" s="3" t="s">
        <v>33</v>
      </c>
      <c r="D477" s="5">
        <v>0.78300000000000003</v>
      </c>
      <c r="E477" s="3" t="s">
        <v>14</v>
      </c>
      <c r="F477" s="5">
        <v>132.464</v>
      </c>
      <c r="G477" s="3" t="s">
        <v>33</v>
      </c>
      <c r="H477" s="3">
        <f t="shared" si="14"/>
        <v>1</v>
      </c>
      <c r="K477" s="3" t="str">
        <f t="shared" si="15"/>
        <v/>
      </c>
    </row>
    <row r="478" spans="1:11" x14ac:dyDescent="0.25">
      <c r="A478" s="3">
        <v>11</v>
      </c>
      <c r="B478" s="13">
        <v>46258.513587963003</v>
      </c>
      <c r="C478" s="3" t="s">
        <v>27</v>
      </c>
      <c r="D478" s="5">
        <v>0.74</v>
      </c>
      <c r="E478" s="3" t="s">
        <v>12</v>
      </c>
      <c r="F478" s="5">
        <v>151.446</v>
      </c>
      <c r="G478" s="3" t="s">
        <v>27</v>
      </c>
      <c r="H478" s="3">
        <f t="shared" si="14"/>
        <v>1</v>
      </c>
      <c r="I478" s="3">
        <v>1</v>
      </c>
      <c r="J478" s="3" t="s">
        <v>27</v>
      </c>
      <c r="K478" s="3">
        <f t="shared" si="15"/>
        <v>1</v>
      </c>
    </row>
    <row r="479" spans="1:11" x14ac:dyDescent="0.25">
      <c r="A479" s="3">
        <v>11</v>
      </c>
      <c r="B479" s="13">
        <v>46258.513831018499</v>
      </c>
      <c r="C479" s="3" t="s">
        <v>25</v>
      </c>
      <c r="D479" s="5">
        <v>0.873</v>
      </c>
      <c r="E479" s="3" t="s">
        <v>14</v>
      </c>
      <c r="F479" s="5">
        <v>111.565</v>
      </c>
      <c r="G479" s="3" t="s">
        <v>25</v>
      </c>
      <c r="H479" s="3">
        <f t="shared" si="14"/>
        <v>1</v>
      </c>
      <c r="K479" s="3" t="str">
        <f t="shared" si="15"/>
        <v/>
      </c>
    </row>
    <row r="480" spans="1:11" x14ac:dyDescent="0.25">
      <c r="A480" s="3">
        <v>11</v>
      </c>
      <c r="B480" s="13">
        <v>46258.5140972222</v>
      </c>
      <c r="C480" s="3" t="s">
        <v>28</v>
      </c>
      <c r="D480" s="5">
        <v>0.80900000000000005</v>
      </c>
      <c r="E480" s="3" t="s">
        <v>14</v>
      </c>
      <c r="F480" s="5">
        <v>121.622</v>
      </c>
      <c r="G480" s="3" t="s">
        <v>28</v>
      </c>
      <c r="H480" s="3">
        <f t="shared" si="14"/>
        <v>1</v>
      </c>
      <c r="I480" s="3">
        <v>1</v>
      </c>
      <c r="J480" s="3" t="s">
        <v>28</v>
      </c>
      <c r="K480" s="3">
        <f t="shared" si="15"/>
        <v>1</v>
      </c>
    </row>
    <row r="481" spans="1:11" x14ac:dyDescent="0.25">
      <c r="A481" s="3">
        <v>11</v>
      </c>
      <c r="B481" s="13">
        <v>46258.514247685198</v>
      </c>
      <c r="C481" s="3" t="s">
        <v>19</v>
      </c>
      <c r="D481" s="5">
        <v>0.94599999999999995</v>
      </c>
      <c r="E481" s="3" t="s">
        <v>14</v>
      </c>
      <c r="F481" s="5">
        <v>120.551</v>
      </c>
      <c r="G481" s="3" t="s">
        <v>19</v>
      </c>
      <c r="H481" s="3">
        <f t="shared" si="14"/>
        <v>1</v>
      </c>
      <c r="K481" s="3" t="str">
        <f t="shared" si="15"/>
        <v/>
      </c>
    </row>
    <row r="482" spans="1:11" x14ac:dyDescent="0.25">
      <c r="A482" s="3">
        <v>11</v>
      </c>
      <c r="B482" s="13">
        <v>46258.514664351896</v>
      </c>
      <c r="C482" s="3" t="s">
        <v>18</v>
      </c>
      <c r="D482" s="5">
        <v>0.84299999999999997</v>
      </c>
      <c r="E482" s="3" t="s">
        <v>14</v>
      </c>
      <c r="F482" s="5">
        <v>130.874</v>
      </c>
      <c r="G482" s="3" t="s">
        <v>18</v>
      </c>
      <c r="H482" s="3">
        <f t="shared" si="14"/>
        <v>1</v>
      </c>
      <c r="K482" s="3" t="str">
        <f t="shared" si="15"/>
        <v/>
      </c>
    </row>
    <row r="483" spans="1:11" x14ac:dyDescent="0.25">
      <c r="A483" s="3">
        <v>11</v>
      </c>
      <c r="B483" s="13">
        <v>46258.514791666697</v>
      </c>
      <c r="C483" s="3" t="s">
        <v>24</v>
      </c>
      <c r="D483" s="5">
        <v>0.91400000000000003</v>
      </c>
      <c r="E483" s="3" t="s">
        <v>14</v>
      </c>
      <c r="F483" s="5">
        <v>118.06399999999999</v>
      </c>
      <c r="G483" s="3" t="s">
        <v>24</v>
      </c>
      <c r="H483" s="3">
        <f t="shared" si="14"/>
        <v>1</v>
      </c>
      <c r="K483" s="3" t="str">
        <f t="shared" si="15"/>
        <v/>
      </c>
    </row>
    <row r="484" spans="1:11" x14ac:dyDescent="0.25">
      <c r="A484" s="3">
        <v>11</v>
      </c>
      <c r="B484" s="13">
        <v>46258.514930555597</v>
      </c>
      <c r="C484" s="3" t="s">
        <v>21</v>
      </c>
      <c r="D484" s="5">
        <v>0.86199999999999999</v>
      </c>
      <c r="E484" s="3" t="s">
        <v>14</v>
      </c>
      <c r="F484" s="5">
        <v>144.11799999999999</v>
      </c>
      <c r="G484" s="3" t="s">
        <v>21</v>
      </c>
      <c r="H484" s="3">
        <f t="shared" si="14"/>
        <v>1</v>
      </c>
      <c r="K484" s="3" t="str">
        <f t="shared" si="15"/>
        <v/>
      </c>
    </row>
    <row r="485" spans="1:11" x14ac:dyDescent="0.25">
      <c r="A485" s="3">
        <v>12</v>
      </c>
      <c r="B485" s="13">
        <v>46258.521562499998</v>
      </c>
      <c r="C485" s="3" t="s">
        <v>16</v>
      </c>
      <c r="D485" s="5">
        <v>0.84099999999999997</v>
      </c>
      <c r="E485" s="3" t="s">
        <v>14</v>
      </c>
      <c r="F485" s="5">
        <v>164.24</v>
      </c>
      <c r="G485" s="3" t="s">
        <v>16</v>
      </c>
      <c r="H485" s="3">
        <f t="shared" si="14"/>
        <v>1</v>
      </c>
      <c r="I485" s="3">
        <v>1</v>
      </c>
      <c r="J485" s="3" t="s">
        <v>16</v>
      </c>
      <c r="K485" s="3">
        <f t="shared" si="15"/>
        <v>1</v>
      </c>
    </row>
    <row r="486" spans="1:11" x14ac:dyDescent="0.25">
      <c r="A486" s="3">
        <v>12</v>
      </c>
      <c r="B486" s="13">
        <v>46258.521724537</v>
      </c>
      <c r="C486" s="3" t="s">
        <v>19</v>
      </c>
      <c r="D486" s="5">
        <v>0.879</v>
      </c>
      <c r="E486" s="3" t="s">
        <v>14</v>
      </c>
      <c r="F486" s="5">
        <v>138.15100000000001</v>
      </c>
      <c r="G486" s="3" t="s">
        <v>19</v>
      </c>
      <c r="H486" s="3">
        <f t="shared" si="14"/>
        <v>1</v>
      </c>
      <c r="K486" s="3" t="str">
        <f t="shared" si="15"/>
        <v/>
      </c>
    </row>
    <row r="487" spans="1:11" x14ac:dyDescent="0.25">
      <c r="A487" s="3">
        <v>12</v>
      </c>
      <c r="B487" s="13">
        <v>46258.521921296298</v>
      </c>
      <c r="C487" s="3" t="s">
        <v>22</v>
      </c>
      <c r="D487" s="5">
        <v>0.88200000000000001</v>
      </c>
      <c r="E487" s="3" t="s">
        <v>14</v>
      </c>
      <c r="F487" s="5">
        <v>144.37899999999999</v>
      </c>
      <c r="G487" s="3" t="s">
        <v>22</v>
      </c>
      <c r="H487" s="3">
        <f t="shared" si="14"/>
        <v>1</v>
      </c>
      <c r="K487" s="3" t="str">
        <f t="shared" si="15"/>
        <v/>
      </c>
    </row>
    <row r="488" spans="1:11" x14ac:dyDescent="0.25">
      <c r="A488" s="3">
        <v>12</v>
      </c>
      <c r="B488" s="13">
        <v>46258.522025462997</v>
      </c>
      <c r="C488" s="3" t="s">
        <v>26</v>
      </c>
      <c r="D488" s="5">
        <v>0.77900000000000003</v>
      </c>
      <c r="E488" s="3" t="s">
        <v>14</v>
      </c>
      <c r="F488" s="5">
        <v>132.239</v>
      </c>
      <c r="G488" s="3" t="s">
        <v>26</v>
      </c>
      <c r="H488" s="3">
        <f t="shared" si="14"/>
        <v>1</v>
      </c>
      <c r="I488" s="3">
        <v>1</v>
      </c>
      <c r="J488" s="3" t="s">
        <v>26</v>
      </c>
      <c r="K488" s="3">
        <f t="shared" si="15"/>
        <v>1</v>
      </c>
    </row>
    <row r="489" spans="1:11" x14ac:dyDescent="0.25">
      <c r="A489" s="3">
        <v>12</v>
      </c>
      <c r="B489" s="13">
        <v>46258.522291666697</v>
      </c>
      <c r="C489" s="3" t="s">
        <v>25</v>
      </c>
      <c r="D489" s="5">
        <v>0.88500000000000001</v>
      </c>
      <c r="E489" s="3" t="s">
        <v>14</v>
      </c>
      <c r="F489" s="5">
        <v>124.529</v>
      </c>
      <c r="G489" s="3" t="s">
        <v>25</v>
      </c>
      <c r="H489" s="3">
        <f t="shared" si="14"/>
        <v>1</v>
      </c>
      <c r="I489" s="3">
        <v>1</v>
      </c>
      <c r="J489" s="3" t="s">
        <v>25</v>
      </c>
      <c r="K489" s="3">
        <f t="shared" si="15"/>
        <v>1</v>
      </c>
    </row>
    <row r="490" spans="1:11" x14ac:dyDescent="0.25">
      <c r="A490" s="3">
        <v>12</v>
      </c>
      <c r="B490" s="13">
        <v>46258.522488425901</v>
      </c>
      <c r="C490" s="3" t="s">
        <v>39</v>
      </c>
      <c r="D490" s="5">
        <v>0.87</v>
      </c>
      <c r="E490" s="3" t="s">
        <v>14</v>
      </c>
      <c r="F490" s="5">
        <v>140.036</v>
      </c>
      <c r="G490" s="3" t="s">
        <v>39</v>
      </c>
      <c r="H490" s="3">
        <f t="shared" si="14"/>
        <v>1</v>
      </c>
      <c r="K490" s="3" t="str">
        <f t="shared" si="15"/>
        <v/>
      </c>
    </row>
    <row r="491" spans="1:11" x14ac:dyDescent="0.25">
      <c r="A491" s="3">
        <v>12</v>
      </c>
      <c r="B491" s="13">
        <v>46258.522731481498</v>
      </c>
      <c r="C491" s="3" t="s">
        <v>31</v>
      </c>
      <c r="D491" s="5">
        <v>0.88300000000000001</v>
      </c>
      <c r="E491" s="3" t="s">
        <v>14</v>
      </c>
      <c r="F491" s="5">
        <v>159.25399999999999</v>
      </c>
      <c r="G491" s="3" t="s">
        <v>31</v>
      </c>
      <c r="H491" s="3">
        <f t="shared" si="14"/>
        <v>1</v>
      </c>
      <c r="K491" s="3" t="str">
        <f t="shared" si="15"/>
        <v/>
      </c>
    </row>
    <row r="492" spans="1:11" x14ac:dyDescent="0.25">
      <c r="A492" s="3">
        <v>12</v>
      </c>
      <c r="B492" s="13">
        <v>46258.522974537002</v>
      </c>
      <c r="C492" s="3" t="s">
        <v>24</v>
      </c>
      <c r="D492" s="5">
        <v>0.91400000000000003</v>
      </c>
      <c r="E492" s="3" t="s">
        <v>14</v>
      </c>
      <c r="F492" s="5">
        <v>163.91300000000001</v>
      </c>
      <c r="G492" s="3" t="s">
        <v>24</v>
      </c>
      <c r="H492" s="3">
        <f t="shared" si="14"/>
        <v>1</v>
      </c>
      <c r="I492" s="3">
        <v>1</v>
      </c>
      <c r="J492" s="3" t="s">
        <v>24</v>
      </c>
      <c r="K492" s="3">
        <f t="shared" si="15"/>
        <v>1</v>
      </c>
    </row>
    <row r="493" spans="1:11" x14ac:dyDescent="0.25">
      <c r="A493" s="3">
        <v>12</v>
      </c>
      <c r="B493" s="13">
        <v>46258.523101851897</v>
      </c>
      <c r="C493" s="3" t="s">
        <v>11</v>
      </c>
      <c r="D493" s="5">
        <v>0.77600000000000002</v>
      </c>
      <c r="E493" s="3" t="s">
        <v>12</v>
      </c>
      <c r="F493" s="5">
        <v>179.13300000000001</v>
      </c>
      <c r="G493" s="3" t="s">
        <v>11</v>
      </c>
      <c r="H493" s="3">
        <f t="shared" si="14"/>
        <v>1</v>
      </c>
      <c r="K493" s="3" t="str">
        <f t="shared" si="15"/>
        <v/>
      </c>
    </row>
    <row r="494" spans="1:11" x14ac:dyDescent="0.25">
      <c r="A494" s="3">
        <v>12</v>
      </c>
      <c r="B494" s="13">
        <v>46258.523252314801</v>
      </c>
      <c r="C494" s="3" t="s">
        <v>30</v>
      </c>
      <c r="D494" s="5">
        <v>0.94299999999999995</v>
      </c>
      <c r="E494" s="3" t="s">
        <v>14</v>
      </c>
      <c r="F494" s="5">
        <v>103.51600000000001</v>
      </c>
      <c r="G494" s="3" t="s">
        <v>30</v>
      </c>
      <c r="H494" s="3">
        <f t="shared" si="14"/>
        <v>1</v>
      </c>
      <c r="K494" s="3" t="str">
        <f t="shared" si="15"/>
        <v/>
      </c>
    </row>
    <row r="495" spans="1:11" x14ac:dyDescent="0.25">
      <c r="A495" s="3">
        <v>12</v>
      </c>
      <c r="B495" s="13">
        <v>46258.523541666698</v>
      </c>
      <c r="C495" s="3" t="s">
        <v>27</v>
      </c>
      <c r="D495" s="5">
        <v>0.86699999999999999</v>
      </c>
      <c r="E495" s="3" t="s">
        <v>12</v>
      </c>
      <c r="F495" s="5">
        <v>146.261</v>
      </c>
      <c r="G495" s="3" t="s">
        <v>27</v>
      </c>
      <c r="H495" s="3">
        <f t="shared" si="14"/>
        <v>1</v>
      </c>
      <c r="I495" s="3">
        <v>1</v>
      </c>
      <c r="J495" s="3" t="s">
        <v>20</v>
      </c>
      <c r="K495" s="3">
        <f t="shared" si="15"/>
        <v>0</v>
      </c>
    </row>
    <row r="496" spans="1:11" x14ac:dyDescent="0.25">
      <c r="A496" s="3">
        <v>12</v>
      </c>
      <c r="B496" s="13">
        <v>46258.523715277799</v>
      </c>
      <c r="C496" s="3" t="s">
        <v>32</v>
      </c>
      <c r="D496" s="5">
        <v>0.80300000000000005</v>
      </c>
      <c r="E496" s="3" t="s">
        <v>14</v>
      </c>
      <c r="F496" s="5">
        <v>142.548</v>
      </c>
      <c r="G496" s="3" t="s">
        <v>32</v>
      </c>
      <c r="H496" s="3">
        <f t="shared" si="14"/>
        <v>1</v>
      </c>
      <c r="I496" s="3">
        <v>1</v>
      </c>
      <c r="J496" s="3" t="s">
        <v>32</v>
      </c>
      <c r="K496" s="3">
        <f t="shared" si="15"/>
        <v>1</v>
      </c>
    </row>
    <row r="497" spans="1:11" x14ac:dyDescent="0.25">
      <c r="A497" s="3">
        <v>12</v>
      </c>
      <c r="B497" s="13">
        <v>46258.523912037002</v>
      </c>
      <c r="C497" s="3" t="s">
        <v>20</v>
      </c>
      <c r="D497" s="5">
        <v>0.86499999999999999</v>
      </c>
      <c r="E497" s="3" t="s">
        <v>12</v>
      </c>
      <c r="F497" s="5">
        <v>184.572</v>
      </c>
      <c r="G497" s="3" t="s">
        <v>20</v>
      </c>
      <c r="H497" s="3">
        <f t="shared" si="14"/>
        <v>1</v>
      </c>
      <c r="I497" s="3">
        <v>1</v>
      </c>
      <c r="J497" s="3" t="s">
        <v>20</v>
      </c>
      <c r="K497" s="3">
        <f t="shared" si="15"/>
        <v>1</v>
      </c>
    </row>
    <row r="498" spans="1:11" x14ac:dyDescent="0.25">
      <c r="A498" s="3">
        <v>12</v>
      </c>
      <c r="B498" s="13">
        <v>46258.524189814802</v>
      </c>
      <c r="C498" s="3" t="s">
        <v>23</v>
      </c>
      <c r="D498" s="5">
        <v>0.81499999999999995</v>
      </c>
      <c r="E498" s="3" t="s">
        <v>14</v>
      </c>
      <c r="F498" s="5">
        <v>133.536</v>
      </c>
      <c r="G498" s="3" t="s">
        <v>23</v>
      </c>
      <c r="H498" s="3">
        <f t="shared" si="14"/>
        <v>1</v>
      </c>
      <c r="K498" s="3" t="str">
        <f t="shared" si="15"/>
        <v/>
      </c>
    </row>
    <row r="499" spans="1:11" x14ac:dyDescent="0.25">
      <c r="A499" s="3">
        <v>12</v>
      </c>
      <c r="B499" s="13">
        <v>46258.524467592601</v>
      </c>
      <c r="C499" s="3" t="s">
        <v>38</v>
      </c>
      <c r="D499" s="5">
        <v>0.873</v>
      </c>
      <c r="E499" s="3" t="s">
        <v>14</v>
      </c>
      <c r="F499" s="5">
        <v>101.92100000000001</v>
      </c>
      <c r="G499" s="3" t="s">
        <v>29</v>
      </c>
      <c r="H499" s="3">
        <f t="shared" si="14"/>
        <v>0</v>
      </c>
      <c r="K499" s="3" t="str">
        <f t="shared" si="15"/>
        <v/>
      </c>
    </row>
    <row r="500" spans="1:11" x14ac:dyDescent="0.25">
      <c r="A500" s="3">
        <v>12</v>
      </c>
      <c r="B500" s="13">
        <v>46258.524594907401</v>
      </c>
      <c r="C500" s="3" t="s">
        <v>37</v>
      </c>
      <c r="D500" s="5">
        <v>0.91400000000000003</v>
      </c>
      <c r="E500" s="3" t="s">
        <v>14</v>
      </c>
      <c r="F500" s="5">
        <v>160.88900000000001</v>
      </c>
      <c r="G500" s="3" t="s">
        <v>37</v>
      </c>
      <c r="H500" s="3">
        <f t="shared" si="14"/>
        <v>1</v>
      </c>
      <c r="K500" s="3" t="str">
        <f t="shared" si="15"/>
        <v/>
      </c>
    </row>
    <row r="501" spans="1:11" x14ac:dyDescent="0.25">
      <c r="A501" s="3">
        <v>12</v>
      </c>
      <c r="B501" s="13">
        <v>46258.5246990741</v>
      </c>
      <c r="C501" s="3" t="s">
        <v>18</v>
      </c>
      <c r="D501" s="5">
        <v>0.9</v>
      </c>
      <c r="E501" s="3" t="s">
        <v>14</v>
      </c>
      <c r="F501" s="5">
        <v>134.453</v>
      </c>
      <c r="G501" s="3" t="s">
        <v>18</v>
      </c>
      <c r="H501" s="3">
        <f t="shared" si="14"/>
        <v>1</v>
      </c>
      <c r="I501" s="3">
        <v>1</v>
      </c>
      <c r="J501" s="3" t="s">
        <v>18</v>
      </c>
      <c r="K501" s="3">
        <f t="shared" si="15"/>
        <v>1</v>
      </c>
    </row>
    <row r="502" spans="1:11" x14ac:dyDescent="0.25">
      <c r="A502" s="3">
        <v>12</v>
      </c>
      <c r="B502" s="13">
        <v>46258.524930555599</v>
      </c>
      <c r="C502" s="3" t="s">
        <v>13</v>
      </c>
      <c r="D502" s="5">
        <v>0.92200000000000004</v>
      </c>
      <c r="E502" s="3" t="s">
        <v>14</v>
      </c>
      <c r="F502" s="5">
        <v>114.367</v>
      </c>
      <c r="G502" s="3" t="s">
        <v>13</v>
      </c>
      <c r="H502" s="3">
        <f t="shared" si="14"/>
        <v>1</v>
      </c>
      <c r="K502" s="3" t="str">
        <f t="shared" si="15"/>
        <v/>
      </c>
    </row>
    <row r="503" spans="1:11" x14ac:dyDescent="0.25">
      <c r="A503" s="3">
        <v>12</v>
      </c>
      <c r="B503" s="13">
        <v>46258.525335648199</v>
      </c>
      <c r="C503" s="3" t="s">
        <v>15</v>
      </c>
      <c r="D503" s="5">
        <v>0.875</v>
      </c>
      <c r="E503" s="3" t="s">
        <v>14</v>
      </c>
      <c r="F503" s="5">
        <v>136.982</v>
      </c>
      <c r="G503" s="3" t="s">
        <v>15</v>
      </c>
      <c r="H503" s="3">
        <f t="shared" si="14"/>
        <v>1</v>
      </c>
      <c r="K503" s="3" t="str">
        <f t="shared" si="15"/>
        <v/>
      </c>
    </row>
    <row r="504" spans="1:11" x14ac:dyDescent="0.25">
      <c r="A504" s="3">
        <v>12</v>
      </c>
      <c r="B504" s="13">
        <v>46258.525520833296</v>
      </c>
      <c r="C504" s="3" t="s">
        <v>33</v>
      </c>
      <c r="D504" s="5">
        <v>0.86</v>
      </c>
      <c r="E504" s="3" t="s">
        <v>14</v>
      </c>
      <c r="F504" s="5">
        <v>135.524</v>
      </c>
      <c r="G504" s="3" t="s">
        <v>33</v>
      </c>
      <c r="H504" s="3">
        <f t="shared" si="14"/>
        <v>1</v>
      </c>
      <c r="I504" s="3">
        <v>1</v>
      </c>
      <c r="J504" s="3" t="s">
        <v>33</v>
      </c>
      <c r="K504" s="3">
        <f t="shared" si="15"/>
        <v>1</v>
      </c>
    </row>
    <row r="505" spans="1:11" x14ac:dyDescent="0.25">
      <c r="A505" s="3">
        <v>12</v>
      </c>
      <c r="B505" s="13">
        <v>46258.5258217593</v>
      </c>
      <c r="C505" s="3" t="s">
        <v>28</v>
      </c>
      <c r="D505" s="5">
        <v>0.85</v>
      </c>
      <c r="E505" s="3" t="s">
        <v>14</v>
      </c>
      <c r="F505" s="5">
        <v>105.723</v>
      </c>
      <c r="G505" s="3" t="s">
        <v>28</v>
      </c>
      <c r="H505" s="3">
        <f t="shared" si="14"/>
        <v>1</v>
      </c>
      <c r="K505" s="3" t="str">
        <f t="shared" si="15"/>
        <v/>
      </c>
    </row>
    <row r="506" spans="1:11" x14ac:dyDescent="0.25">
      <c r="A506" s="3">
        <v>12</v>
      </c>
      <c r="B506" s="13">
        <v>46258.526087963</v>
      </c>
      <c r="C506" s="3" t="s">
        <v>36</v>
      </c>
      <c r="D506" s="5">
        <v>0.86499999999999999</v>
      </c>
      <c r="E506" s="3" t="s">
        <v>14</v>
      </c>
      <c r="F506" s="5">
        <v>125.64400000000001</v>
      </c>
      <c r="G506" s="3" t="s">
        <v>36</v>
      </c>
      <c r="H506" s="3">
        <f t="shared" si="14"/>
        <v>1</v>
      </c>
      <c r="K506" s="3" t="str">
        <f t="shared" si="15"/>
        <v/>
      </c>
    </row>
    <row r="507" spans="1:11" x14ac:dyDescent="0.25">
      <c r="A507" s="3">
        <v>12</v>
      </c>
      <c r="B507" s="13">
        <v>46258.526238425897</v>
      </c>
      <c r="C507" s="3" t="s">
        <v>25</v>
      </c>
      <c r="D507" s="5">
        <v>0.96899999999999997</v>
      </c>
      <c r="E507" s="3" t="s">
        <v>14</v>
      </c>
      <c r="F507" s="5">
        <v>139.15799999999999</v>
      </c>
      <c r="G507" s="3" t="s">
        <v>25</v>
      </c>
      <c r="H507" s="3">
        <f t="shared" si="14"/>
        <v>1</v>
      </c>
      <c r="I507" s="3">
        <v>1</v>
      </c>
      <c r="J507" s="3" t="s">
        <v>25</v>
      </c>
      <c r="K507" s="3">
        <f t="shared" si="15"/>
        <v>1</v>
      </c>
    </row>
    <row r="508" spans="1:11" x14ac:dyDescent="0.25">
      <c r="A508" s="3">
        <v>12</v>
      </c>
      <c r="B508" s="13">
        <v>46258.526574074102</v>
      </c>
      <c r="C508" s="3" t="s">
        <v>19</v>
      </c>
      <c r="D508" s="5">
        <v>0.84299999999999997</v>
      </c>
      <c r="E508" s="3" t="s">
        <v>14</v>
      </c>
      <c r="F508" s="5">
        <v>105.405</v>
      </c>
      <c r="G508" s="3" t="s">
        <v>19</v>
      </c>
      <c r="H508" s="3">
        <f t="shared" si="14"/>
        <v>1</v>
      </c>
      <c r="I508" s="3">
        <v>1</v>
      </c>
      <c r="J508" s="3" t="s">
        <v>19</v>
      </c>
      <c r="K508" s="3">
        <f t="shared" si="15"/>
        <v>1</v>
      </c>
    </row>
    <row r="509" spans="1:11" x14ac:dyDescent="0.25">
      <c r="A509" s="3">
        <v>12</v>
      </c>
      <c r="B509" s="13">
        <v>46258.526782407404</v>
      </c>
      <c r="C509" s="3" t="s">
        <v>18</v>
      </c>
      <c r="D509" s="5">
        <v>0.89100000000000001</v>
      </c>
      <c r="E509" s="3" t="s">
        <v>14</v>
      </c>
      <c r="F509" s="5">
        <v>129.61699999999999</v>
      </c>
      <c r="G509" s="3" t="s">
        <v>18</v>
      </c>
      <c r="H509" s="3">
        <f t="shared" si="14"/>
        <v>1</v>
      </c>
      <c r="K509" s="3" t="str">
        <f t="shared" si="15"/>
        <v/>
      </c>
    </row>
    <row r="510" spans="1:11" x14ac:dyDescent="0.25">
      <c r="A510" s="3">
        <v>12</v>
      </c>
      <c r="B510" s="13">
        <v>46258.526921296303</v>
      </c>
      <c r="C510" s="3" t="s">
        <v>28</v>
      </c>
      <c r="D510" s="5">
        <v>0.83699999999999997</v>
      </c>
      <c r="E510" s="3" t="s">
        <v>14</v>
      </c>
      <c r="F510" s="5">
        <v>151.21700000000001</v>
      </c>
      <c r="G510" s="3" t="s">
        <v>28</v>
      </c>
      <c r="H510" s="3">
        <f t="shared" si="14"/>
        <v>1</v>
      </c>
      <c r="K510" s="3" t="str">
        <f t="shared" si="15"/>
        <v/>
      </c>
    </row>
    <row r="511" spans="1:11" x14ac:dyDescent="0.25">
      <c r="A511" s="3">
        <v>12</v>
      </c>
      <c r="B511" s="13">
        <v>46258.527025463001</v>
      </c>
      <c r="C511" s="3" t="s">
        <v>31</v>
      </c>
      <c r="D511" s="5">
        <v>0.74399999999999999</v>
      </c>
      <c r="E511" s="3" t="s">
        <v>14</v>
      </c>
      <c r="F511" s="5">
        <v>99.447000000000003</v>
      </c>
      <c r="G511" s="3" t="s">
        <v>24</v>
      </c>
      <c r="H511" s="3">
        <f t="shared" si="14"/>
        <v>0</v>
      </c>
      <c r="I511" s="3">
        <v>1</v>
      </c>
      <c r="J511" s="3" t="s">
        <v>31</v>
      </c>
      <c r="K511" s="3">
        <f t="shared" si="15"/>
        <v>0</v>
      </c>
    </row>
    <row r="512" spans="1:11" x14ac:dyDescent="0.25">
      <c r="A512" s="3">
        <v>12</v>
      </c>
      <c r="B512" s="13">
        <v>46258.527210648201</v>
      </c>
      <c r="C512" s="3" t="s">
        <v>19</v>
      </c>
      <c r="D512" s="5">
        <v>0.82599999999999996</v>
      </c>
      <c r="E512" s="3" t="s">
        <v>14</v>
      </c>
      <c r="F512" s="5">
        <v>120.092</v>
      </c>
      <c r="G512" s="3" t="s">
        <v>11</v>
      </c>
      <c r="H512" s="3">
        <f t="shared" si="14"/>
        <v>0</v>
      </c>
      <c r="K512" s="3" t="str">
        <f t="shared" si="15"/>
        <v/>
      </c>
    </row>
    <row r="513" spans="1:11" x14ac:dyDescent="0.25">
      <c r="A513" s="3">
        <v>12</v>
      </c>
      <c r="B513" s="13">
        <v>46258.527627314797</v>
      </c>
      <c r="C513" s="3" t="s">
        <v>28</v>
      </c>
      <c r="D513" s="5">
        <v>0.90100000000000002</v>
      </c>
      <c r="E513" s="3" t="s">
        <v>14</v>
      </c>
      <c r="F513" s="5">
        <v>103.456</v>
      </c>
      <c r="G513" s="3" t="s">
        <v>28</v>
      </c>
      <c r="H513" s="3">
        <f t="shared" si="14"/>
        <v>1</v>
      </c>
      <c r="K513" s="3" t="str">
        <f t="shared" si="15"/>
        <v/>
      </c>
    </row>
    <row r="514" spans="1:11" x14ac:dyDescent="0.25">
      <c r="A514" s="3">
        <v>12</v>
      </c>
      <c r="B514" s="13">
        <v>46258.527766203697</v>
      </c>
      <c r="C514" s="3" t="s">
        <v>26</v>
      </c>
      <c r="D514" s="5">
        <v>0.88200000000000001</v>
      </c>
      <c r="E514" s="3" t="s">
        <v>14</v>
      </c>
      <c r="F514" s="5">
        <v>107.985</v>
      </c>
      <c r="G514" s="3" t="s">
        <v>26</v>
      </c>
      <c r="H514" s="3">
        <f t="shared" ref="H514:H577" si="16">IF(C514=G514,1,0)</f>
        <v>1</v>
      </c>
      <c r="K514" s="3" t="str">
        <f t="shared" ref="K514:K577" si="17">IF(J514="","",IF(J514=G514,1,0))</f>
        <v/>
      </c>
    </row>
    <row r="515" spans="1:11" x14ac:dyDescent="0.25">
      <c r="A515" s="3">
        <v>12</v>
      </c>
      <c r="B515" s="13">
        <v>46258.527974536999</v>
      </c>
      <c r="C515" s="3" t="s">
        <v>36</v>
      </c>
      <c r="D515" s="5">
        <v>0.90700000000000003</v>
      </c>
      <c r="E515" s="3" t="s">
        <v>14</v>
      </c>
      <c r="F515" s="5">
        <v>132.51</v>
      </c>
      <c r="G515" s="3" t="s">
        <v>36</v>
      </c>
      <c r="H515" s="3">
        <f t="shared" si="16"/>
        <v>1</v>
      </c>
      <c r="K515" s="3" t="str">
        <f t="shared" si="17"/>
        <v/>
      </c>
    </row>
    <row r="516" spans="1:11" x14ac:dyDescent="0.25">
      <c r="A516" s="3">
        <v>12</v>
      </c>
      <c r="B516" s="13">
        <v>46258.528206018498</v>
      </c>
      <c r="C516" s="3" t="s">
        <v>28</v>
      </c>
      <c r="D516" s="5">
        <v>0.88100000000000001</v>
      </c>
      <c r="E516" s="3" t="s">
        <v>14</v>
      </c>
      <c r="F516" s="5">
        <v>123.554</v>
      </c>
      <c r="G516" s="3" t="s">
        <v>28</v>
      </c>
      <c r="H516" s="3">
        <f t="shared" si="16"/>
        <v>1</v>
      </c>
      <c r="K516" s="3" t="str">
        <f t="shared" si="17"/>
        <v/>
      </c>
    </row>
    <row r="517" spans="1:11" x14ac:dyDescent="0.25">
      <c r="A517" s="3">
        <v>12</v>
      </c>
      <c r="B517" s="13">
        <v>46258.528460648202</v>
      </c>
      <c r="C517" s="3" t="s">
        <v>23</v>
      </c>
      <c r="D517" s="5">
        <v>0.95699999999999996</v>
      </c>
      <c r="E517" s="3" t="s">
        <v>14</v>
      </c>
      <c r="F517" s="5">
        <v>111.438</v>
      </c>
      <c r="G517" s="3" t="s">
        <v>23</v>
      </c>
      <c r="H517" s="3">
        <f t="shared" si="16"/>
        <v>1</v>
      </c>
      <c r="K517" s="3" t="str">
        <f t="shared" si="17"/>
        <v/>
      </c>
    </row>
    <row r="518" spans="1:11" x14ac:dyDescent="0.25">
      <c r="A518" s="3">
        <v>12</v>
      </c>
      <c r="B518" s="13">
        <v>46258.528645833299</v>
      </c>
      <c r="C518" s="3" t="s">
        <v>24</v>
      </c>
      <c r="D518" s="5">
        <v>0.96699999999999997</v>
      </c>
      <c r="E518" s="3" t="s">
        <v>14</v>
      </c>
      <c r="F518" s="5">
        <v>113.056</v>
      </c>
      <c r="G518" s="3" t="s">
        <v>24</v>
      </c>
      <c r="H518" s="3">
        <f t="shared" si="16"/>
        <v>1</v>
      </c>
      <c r="K518" s="3" t="str">
        <f t="shared" si="17"/>
        <v/>
      </c>
    </row>
    <row r="519" spans="1:11" x14ac:dyDescent="0.25">
      <c r="A519" s="3">
        <v>12</v>
      </c>
      <c r="B519" s="13">
        <v>46258.5289583333</v>
      </c>
      <c r="C519" s="3" t="s">
        <v>13</v>
      </c>
      <c r="D519" s="5">
        <v>0.88100000000000001</v>
      </c>
      <c r="E519" s="3" t="s">
        <v>14</v>
      </c>
      <c r="F519" s="5">
        <v>98.132000000000005</v>
      </c>
      <c r="G519" s="3" t="s">
        <v>13</v>
      </c>
      <c r="H519" s="3">
        <f t="shared" si="16"/>
        <v>1</v>
      </c>
      <c r="K519" s="3" t="str">
        <f t="shared" si="17"/>
        <v/>
      </c>
    </row>
    <row r="520" spans="1:11" x14ac:dyDescent="0.25">
      <c r="A520" s="3">
        <v>12</v>
      </c>
      <c r="B520" s="13">
        <v>46258.529155092598</v>
      </c>
      <c r="C520" s="3" t="s">
        <v>36</v>
      </c>
      <c r="D520" s="5">
        <v>0.88800000000000001</v>
      </c>
      <c r="E520" s="3" t="s">
        <v>14</v>
      </c>
      <c r="F520" s="5">
        <v>146.94399999999999</v>
      </c>
      <c r="G520" s="3" t="s">
        <v>36</v>
      </c>
      <c r="H520" s="3">
        <f t="shared" si="16"/>
        <v>1</v>
      </c>
      <c r="K520" s="3" t="str">
        <f t="shared" si="17"/>
        <v/>
      </c>
    </row>
    <row r="521" spans="1:11" x14ac:dyDescent="0.25">
      <c r="A521" s="3">
        <v>12</v>
      </c>
      <c r="B521" s="13">
        <v>46258.529386574097</v>
      </c>
      <c r="C521" s="3" t="s">
        <v>37</v>
      </c>
      <c r="D521" s="5">
        <v>0.91900000000000004</v>
      </c>
      <c r="E521" s="3" t="s">
        <v>14</v>
      </c>
      <c r="F521" s="5">
        <v>135.22999999999999</v>
      </c>
      <c r="G521" s="3" t="s">
        <v>37</v>
      </c>
      <c r="H521" s="3">
        <f t="shared" si="16"/>
        <v>1</v>
      </c>
      <c r="K521" s="3" t="str">
        <f t="shared" si="17"/>
        <v/>
      </c>
    </row>
    <row r="522" spans="1:11" x14ac:dyDescent="0.25">
      <c r="A522" s="3">
        <v>12</v>
      </c>
      <c r="B522" s="13">
        <v>46258.529513888898</v>
      </c>
      <c r="C522" s="3" t="s">
        <v>20</v>
      </c>
      <c r="D522" s="5">
        <v>0.92700000000000005</v>
      </c>
      <c r="E522" s="3" t="s">
        <v>12</v>
      </c>
      <c r="F522" s="5">
        <v>141.73699999999999</v>
      </c>
      <c r="G522" s="3" t="s">
        <v>20</v>
      </c>
      <c r="H522" s="3">
        <f t="shared" si="16"/>
        <v>1</v>
      </c>
      <c r="K522" s="3" t="str">
        <f t="shared" si="17"/>
        <v/>
      </c>
    </row>
    <row r="523" spans="1:11" x14ac:dyDescent="0.25">
      <c r="A523" s="3">
        <v>12</v>
      </c>
      <c r="B523" s="13">
        <v>46258.5297222222</v>
      </c>
      <c r="C523" s="3" t="s">
        <v>33</v>
      </c>
      <c r="D523" s="5">
        <v>0.84599999999999997</v>
      </c>
      <c r="E523" s="3" t="s">
        <v>14</v>
      </c>
      <c r="F523" s="5">
        <v>163.077</v>
      </c>
      <c r="G523" s="3" t="s">
        <v>33</v>
      </c>
      <c r="H523" s="3">
        <f t="shared" si="16"/>
        <v>1</v>
      </c>
      <c r="K523" s="3" t="str">
        <f t="shared" si="17"/>
        <v/>
      </c>
    </row>
    <row r="524" spans="1:11" x14ac:dyDescent="0.25">
      <c r="A524" s="3">
        <v>12</v>
      </c>
      <c r="B524" s="13">
        <v>46258.529918981498</v>
      </c>
      <c r="C524" s="3" t="s">
        <v>25</v>
      </c>
      <c r="D524" s="5">
        <v>0.76</v>
      </c>
      <c r="E524" s="3" t="s">
        <v>14</v>
      </c>
      <c r="F524" s="5">
        <v>136.768</v>
      </c>
      <c r="G524" s="3" t="s">
        <v>25</v>
      </c>
      <c r="H524" s="3">
        <f t="shared" si="16"/>
        <v>1</v>
      </c>
      <c r="I524" s="3">
        <v>1</v>
      </c>
      <c r="J524" s="3" t="s">
        <v>25</v>
      </c>
      <c r="K524" s="3">
        <f t="shared" si="17"/>
        <v>1</v>
      </c>
    </row>
    <row r="525" spans="1:11" x14ac:dyDescent="0.25">
      <c r="A525" s="3">
        <v>12</v>
      </c>
      <c r="B525" s="13">
        <v>46258.530162037001</v>
      </c>
      <c r="C525" s="3" t="s">
        <v>29</v>
      </c>
      <c r="D525" s="5">
        <v>0.88800000000000001</v>
      </c>
      <c r="E525" s="3" t="s">
        <v>14</v>
      </c>
      <c r="F525" s="5">
        <v>160.226</v>
      </c>
      <c r="G525" s="3" t="s">
        <v>29</v>
      </c>
      <c r="H525" s="3">
        <f t="shared" si="16"/>
        <v>1</v>
      </c>
      <c r="K525" s="3" t="str">
        <f t="shared" si="17"/>
        <v/>
      </c>
    </row>
    <row r="526" spans="1:11" x14ac:dyDescent="0.25">
      <c r="A526" s="3">
        <v>12</v>
      </c>
      <c r="B526" s="13">
        <v>46258.530300925901</v>
      </c>
      <c r="C526" s="3" t="s">
        <v>13</v>
      </c>
      <c r="D526" s="5">
        <v>0.92</v>
      </c>
      <c r="E526" s="3" t="s">
        <v>14</v>
      </c>
      <c r="F526" s="5">
        <v>118.069</v>
      </c>
      <c r="G526" s="3" t="s">
        <v>13</v>
      </c>
      <c r="H526" s="3">
        <f t="shared" si="16"/>
        <v>1</v>
      </c>
      <c r="I526" s="3">
        <v>1</v>
      </c>
      <c r="J526" s="3" t="s">
        <v>13</v>
      </c>
      <c r="K526" s="3">
        <f t="shared" si="17"/>
        <v>1</v>
      </c>
    </row>
    <row r="527" spans="1:11" x14ac:dyDescent="0.25">
      <c r="A527" s="3">
        <v>12</v>
      </c>
      <c r="B527" s="13">
        <v>46258.530497685198</v>
      </c>
      <c r="C527" s="3" t="s">
        <v>15</v>
      </c>
      <c r="D527" s="5">
        <v>0.88200000000000001</v>
      </c>
      <c r="E527" s="3" t="s">
        <v>14</v>
      </c>
      <c r="F527" s="5">
        <v>129.64400000000001</v>
      </c>
      <c r="G527" s="3" t="s">
        <v>15</v>
      </c>
      <c r="H527" s="3">
        <f t="shared" si="16"/>
        <v>1</v>
      </c>
      <c r="I527" s="3">
        <v>1</v>
      </c>
      <c r="J527" s="3" t="s">
        <v>15</v>
      </c>
      <c r="K527" s="3">
        <f t="shared" si="17"/>
        <v>1</v>
      </c>
    </row>
    <row r="528" spans="1:11" x14ac:dyDescent="0.25">
      <c r="A528" s="3">
        <v>12</v>
      </c>
      <c r="B528" s="13">
        <v>46258.530624999999</v>
      </c>
      <c r="C528" s="3" t="s">
        <v>19</v>
      </c>
      <c r="D528" s="5">
        <v>0.92400000000000004</v>
      </c>
      <c r="E528" s="3" t="s">
        <v>14</v>
      </c>
      <c r="F528" s="5">
        <v>146.251</v>
      </c>
      <c r="G528" s="3" t="s">
        <v>19</v>
      </c>
      <c r="H528" s="3">
        <f t="shared" si="16"/>
        <v>1</v>
      </c>
      <c r="K528" s="3" t="str">
        <f t="shared" si="17"/>
        <v/>
      </c>
    </row>
    <row r="529" spans="1:11" x14ac:dyDescent="0.25">
      <c r="A529" s="3">
        <v>13</v>
      </c>
      <c r="B529" s="13">
        <v>46258.5319675926</v>
      </c>
      <c r="C529" s="3" t="s">
        <v>32</v>
      </c>
      <c r="D529" s="5">
        <v>0.78500000000000003</v>
      </c>
      <c r="E529" s="3" t="s">
        <v>14</v>
      </c>
      <c r="F529" s="5">
        <v>119.849</v>
      </c>
      <c r="G529" s="3" t="s">
        <v>32</v>
      </c>
      <c r="H529" s="3">
        <f t="shared" si="16"/>
        <v>1</v>
      </c>
      <c r="K529" s="3" t="str">
        <f t="shared" si="17"/>
        <v/>
      </c>
    </row>
    <row r="530" spans="1:11" x14ac:dyDescent="0.25">
      <c r="A530" s="3">
        <v>13</v>
      </c>
      <c r="B530" s="13">
        <v>46258.5320601852</v>
      </c>
      <c r="C530" s="3" t="s">
        <v>36</v>
      </c>
      <c r="D530" s="5">
        <v>0.874</v>
      </c>
      <c r="E530" s="3" t="s">
        <v>14</v>
      </c>
      <c r="F530" s="5">
        <v>135.55699999999999</v>
      </c>
      <c r="G530" s="3" t="s">
        <v>36</v>
      </c>
      <c r="H530" s="3">
        <f t="shared" si="16"/>
        <v>1</v>
      </c>
      <c r="K530" s="3" t="str">
        <f t="shared" si="17"/>
        <v/>
      </c>
    </row>
    <row r="531" spans="1:11" x14ac:dyDescent="0.25">
      <c r="A531" s="3">
        <v>13</v>
      </c>
      <c r="B531" s="13">
        <v>46258.5323263889</v>
      </c>
      <c r="C531" s="3" t="s">
        <v>22</v>
      </c>
      <c r="D531" s="5">
        <v>0.876</v>
      </c>
      <c r="E531" s="3" t="s">
        <v>14</v>
      </c>
      <c r="F531" s="5">
        <v>158.51400000000001</v>
      </c>
      <c r="G531" s="3" t="s">
        <v>22</v>
      </c>
      <c r="H531" s="3">
        <f t="shared" si="16"/>
        <v>1</v>
      </c>
      <c r="K531" s="3" t="str">
        <f t="shared" si="17"/>
        <v/>
      </c>
    </row>
    <row r="532" spans="1:11" x14ac:dyDescent="0.25">
      <c r="A532" s="3">
        <v>13</v>
      </c>
      <c r="B532" s="13">
        <v>46258.532430555599</v>
      </c>
      <c r="C532" s="3" t="s">
        <v>34</v>
      </c>
      <c r="D532" s="5">
        <v>0.83299999999999996</v>
      </c>
      <c r="E532" s="3" t="s">
        <v>14</v>
      </c>
      <c r="F532" s="5">
        <v>113.01900000000001</v>
      </c>
      <c r="G532" s="3" t="s">
        <v>34</v>
      </c>
      <c r="H532" s="3">
        <f t="shared" si="16"/>
        <v>1</v>
      </c>
      <c r="K532" s="3" t="str">
        <f t="shared" si="17"/>
        <v/>
      </c>
    </row>
    <row r="533" spans="1:11" x14ac:dyDescent="0.25">
      <c r="A533" s="3">
        <v>13</v>
      </c>
      <c r="B533" s="13">
        <v>46258.532581018502</v>
      </c>
      <c r="C533" s="3" t="s">
        <v>16</v>
      </c>
      <c r="D533" s="5">
        <v>0.82699999999999996</v>
      </c>
      <c r="E533" s="3" t="s">
        <v>14</v>
      </c>
      <c r="F533" s="5">
        <v>135.529</v>
      </c>
      <c r="G533" s="3" t="s">
        <v>16</v>
      </c>
      <c r="H533" s="3">
        <f t="shared" si="16"/>
        <v>1</v>
      </c>
      <c r="I533" s="3">
        <v>1</v>
      </c>
      <c r="J533" s="3" t="s">
        <v>16</v>
      </c>
      <c r="K533" s="3">
        <f t="shared" si="17"/>
        <v>1</v>
      </c>
    </row>
    <row r="534" spans="1:11" x14ac:dyDescent="0.25">
      <c r="A534" s="3">
        <v>13</v>
      </c>
      <c r="B534" s="13">
        <v>46258.532754629603</v>
      </c>
      <c r="C534" s="3" t="s">
        <v>24</v>
      </c>
      <c r="D534" s="5">
        <v>0.94299999999999995</v>
      </c>
      <c r="E534" s="3" t="s">
        <v>14</v>
      </c>
      <c r="F534" s="5">
        <v>118.84399999999999</v>
      </c>
      <c r="G534" s="3" t="s">
        <v>24</v>
      </c>
      <c r="H534" s="3">
        <f t="shared" si="16"/>
        <v>1</v>
      </c>
      <c r="K534" s="3" t="str">
        <f t="shared" si="17"/>
        <v/>
      </c>
    </row>
    <row r="535" spans="1:11" x14ac:dyDescent="0.25">
      <c r="A535" s="3">
        <v>13</v>
      </c>
      <c r="B535" s="13">
        <v>46258.532858796301</v>
      </c>
      <c r="C535" s="3" t="s">
        <v>28</v>
      </c>
      <c r="D535" s="5">
        <v>0.83199999999999996</v>
      </c>
      <c r="E535" s="3" t="s">
        <v>14</v>
      </c>
      <c r="F535" s="5">
        <v>92.17</v>
      </c>
      <c r="G535" s="3" t="s">
        <v>23</v>
      </c>
      <c r="H535" s="3">
        <f t="shared" si="16"/>
        <v>0</v>
      </c>
      <c r="I535" s="3">
        <v>1</v>
      </c>
      <c r="J535" s="3" t="s">
        <v>28</v>
      </c>
      <c r="K535" s="3">
        <f t="shared" si="17"/>
        <v>0</v>
      </c>
    </row>
    <row r="536" spans="1:11" x14ac:dyDescent="0.25">
      <c r="A536" s="3">
        <v>13</v>
      </c>
      <c r="B536" s="13">
        <v>46258.532997685201</v>
      </c>
      <c r="C536" s="3" t="s">
        <v>13</v>
      </c>
      <c r="D536" s="5">
        <v>0.85399999999999998</v>
      </c>
      <c r="E536" s="3" t="s">
        <v>14</v>
      </c>
      <c r="F536" s="5">
        <v>108.768</v>
      </c>
      <c r="G536" s="3" t="s">
        <v>13</v>
      </c>
      <c r="H536" s="3">
        <f t="shared" si="16"/>
        <v>1</v>
      </c>
      <c r="K536" s="3" t="str">
        <f t="shared" si="17"/>
        <v/>
      </c>
    </row>
    <row r="537" spans="1:11" x14ac:dyDescent="0.25">
      <c r="A537" s="3">
        <v>13</v>
      </c>
      <c r="B537" s="13">
        <v>46258.533171296302</v>
      </c>
      <c r="C537" s="3" t="s">
        <v>11</v>
      </c>
      <c r="D537" s="5">
        <v>0.88</v>
      </c>
      <c r="E537" s="3" t="s">
        <v>12</v>
      </c>
      <c r="F537" s="5">
        <v>172.50700000000001</v>
      </c>
      <c r="G537" s="3" t="s">
        <v>11</v>
      </c>
      <c r="H537" s="3">
        <f t="shared" si="16"/>
        <v>1</v>
      </c>
      <c r="I537" s="3">
        <v>1</v>
      </c>
      <c r="J537" s="3" t="s">
        <v>19</v>
      </c>
      <c r="K537" s="3">
        <f>IF(J537="","",IF(J537=G537,1,0))</f>
        <v>0</v>
      </c>
    </row>
    <row r="538" spans="1:11" x14ac:dyDescent="0.25">
      <c r="A538" s="3">
        <v>13</v>
      </c>
      <c r="B538" s="13">
        <v>46258.5333680556</v>
      </c>
      <c r="C538" s="3" t="s">
        <v>39</v>
      </c>
      <c r="D538" s="5">
        <v>0.88400000000000001</v>
      </c>
      <c r="E538" s="3" t="s">
        <v>14</v>
      </c>
      <c r="F538" s="5">
        <v>146.69999999999999</v>
      </c>
      <c r="G538" s="3" t="s">
        <v>39</v>
      </c>
      <c r="H538" s="3">
        <f t="shared" si="16"/>
        <v>1</v>
      </c>
      <c r="I538" s="3">
        <v>1</v>
      </c>
      <c r="J538" s="3" t="s">
        <v>39</v>
      </c>
      <c r="K538" s="3">
        <f t="shared" si="17"/>
        <v>1</v>
      </c>
    </row>
    <row r="539" spans="1:11" x14ac:dyDescent="0.25">
      <c r="A539" s="3">
        <v>13</v>
      </c>
      <c r="B539" s="13">
        <v>46258.533703703702</v>
      </c>
      <c r="C539" s="3" t="s">
        <v>21</v>
      </c>
      <c r="D539" s="5">
        <v>0.9</v>
      </c>
      <c r="E539" s="3" t="s">
        <v>14</v>
      </c>
      <c r="F539" s="5">
        <v>132.18199999999999</v>
      </c>
      <c r="G539" s="3" t="s">
        <v>21</v>
      </c>
      <c r="H539" s="3">
        <f t="shared" si="16"/>
        <v>1</v>
      </c>
      <c r="K539" s="3" t="str">
        <f t="shared" si="17"/>
        <v/>
      </c>
    </row>
    <row r="540" spans="1:11" x14ac:dyDescent="0.25">
      <c r="A540" s="3">
        <v>13</v>
      </c>
      <c r="B540" s="13">
        <v>46258.533912036997</v>
      </c>
      <c r="C540" s="3" t="s">
        <v>18</v>
      </c>
      <c r="D540" s="5">
        <v>0.71699999999999997</v>
      </c>
      <c r="E540" s="3" t="s">
        <v>14</v>
      </c>
      <c r="F540" s="5">
        <v>146.67699999999999</v>
      </c>
      <c r="G540" s="3" t="s">
        <v>25</v>
      </c>
      <c r="H540" s="3">
        <f t="shared" si="16"/>
        <v>0</v>
      </c>
      <c r="K540" s="3" t="str">
        <f t="shared" si="17"/>
        <v/>
      </c>
    </row>
    <row r="541" spans="1:11" x14ac:dyDescent="0.25">
      <c r="A541" s="3">
        <v>13</v>
      </c>
      <c r="B541" s="13">
        <v>46258.534131944398</v>
      </c>
      <c r="C541" s="3" t="s">
        <v>37</v>
      </c>
      <c r="D541" s="5">
        <v>0.83499999999999996</v>
      </c>
      <c r="E541" s="3" t="s">
        <v>14</v>
      </c>
      <c r="F541" s="5">
        <v>97.941000000000003</v>
      </c>
      <c r="G541" s="3" t="s">
        <v>37</v>
      </c>
      <c r="H541" s="3">
        <f t="shared" si="16"/>
        <v>1</v>
      </c>
      <c r="K541" s="3" t="str">
        <f t="shared" si="17"/>
        <v/>
      </c>
    </row>
    <row r="542" spans="1:11" x14ac:dyDescent="0.25">
      <c r="A542" s="3">
        <v>13</v>
      </c>
      <c r="B542" s="13">
        <v>46258.5343518519</v>
      </c>
      <c r="C542" s="3" t="s">
        <v>28</v>
      </c>
      <c r="D542" s="5">
        <v>0.8</v>
      </c>
      <c r="E542" s="3" t="s">
        <v>14</v>
      </c>
      <c r="F542" s="5">
        <v>126.749</v>
      </c>
      <c r="G542" s="3" t="s">
        <v>28</v>
      </c>
      <c r="H542" s="3">
        <f t="shared" si="16"/>
        <v>1</v>
      </c>
      <c r="K542" s="3" t="str">
        <f t="shared" si="17"/>
        <v/>
      </c>
    </row>
    <row r="543" spans="1:11" x14ac:dyDescent="0.25">
      <c r="A543" s="3">
        <v>13</v>
      </c>
      <c r="B543" s="13">
        <v>46258.534456018497</v>
      </c>
      <c r="C543" s="3" t="s">
        <v>26</v>
      </c>
      <c r="D543" s="5">
        <v>0.82499999999999996</v>
      </c>
      <c r="E543" s="3" t="s">
        <v>14</v>
      </c>
      <c r="F543" s="5">
        <v>111.529</v>
      </c>
      <c r="G543" s="3" t="s">
        <v>26</v>
      </c>
      <c r="H543" s="3">
        <f t="shared" si="16"/>
        <v>1</v>
      </c>
      <c r="K543" s="3" t="str">
        <f t="shared" si="17"/>
        <v/>
      </c>
    </row>
    <row r="544" spans="1:11" x14ac:dyDescent="0.25">
      <c r="A544" s="3">
        <v>13</v>
      </c>
      <c r="B544" s="13">
        <v>46258.534560185202</v>
      </c>
      <c r="C544" s="3" t="s">
        <v>33</v>
      </c>
      <c r="D544" s="5">
        <v>0.85799999999999998</v>
      </c>
      <c r="E544" s="3" t="s">
        <v>14</v>
      </c>
      <c r="F544" s="5">
        <v>118.414</v>
      </c>
      <c r="G544" s="3" t="s">
        <v>33</v>
      </c>
      <c r="H544" s="3">
        <f t="shared" si="16"/>
        <v>1</v>
      </c>
      <c r="I544" s="3">
        <v>1</v>
      </c>
      <c r="J544" s="3" t="s">
        <v>33</v>
      </c>
      <c r="K544" s="3">
        <f t="shared" si="17"/>
        <v>1</v>
      </c>
    </row>
    <row r="545" spans="1:11" x14ac:dyDescent="0.25">
      <c r="A545" s="3">
        <v>13</v>
      </c>
      <c r="B545" s="13">
        <v>46258.534699074102</v>
      </c>
      <c r="C545" s="3" t="s">
        <v>35</v>
      </c>
      <c r="D545" s="5">
        <v>0.876</v>
      </c>
      <c r="E545" s="3" t="s">
        <v>14</v>
      </c>
      <c r="F545" s="5">
        <v>113.131</v>
      </c>
      <c r="G545" s="3" t="s">
        <v>35</v>
      </c>
      <c r="H545" s="3">
        <f t="shared" si="16"/>
        <v>1</v>
      </c>
      <c r="K545" s="3" t="str">
        <f t="shared" si="17"/>
        <v/>
      </c>
    </row>
    <row r="546" spans="1:11" x14ac:dyDescent="0.25">
      <c r="A546" s="3">
        <v>13</v>
      </c>
      <c r="B546" s="13">
        <v>46258.534918981502</v>
      </c>
      <c r="C546" s="3" t="s">
        <v>17</v>
      </c>
      <c r="D546" s="5">
        <v>0.89600000000000002</v>
      </c>
      <c r="E546" s="3" t="s">
        <v>14</v>
      </c>
      <c r="F546" s="5">
        <v>106.01900000000001</v>
      </c>
      <c r="G546" s="3" t="s">
        <v>17</v>
      </c>
      <c r="H546" s="3">
        <f t="shared" si="16"/>
        <v>1</v>
      </c>
      <c r="K546" s="3" t="str">
        <f t="shared" si="17"/>
        <v/>
      </c>
    </row>
    <row r="547" spans="1:11" x14ac:dyDescent="0.25">
      <c r="A547" s="3">
        <v>13</v>
      </c>
      <c r="B547" s="13">
        <v>46258.535104166702</v>
      </c>
      <c r="C547" s="3" t="s">
        <v>27</v>
      </c>
      <c r="D547" s="5">
        <v>0.86899999999999999</v>
      </c>
      <c r="E547" s="3" t="s">
        <v>12</v>
      </c>
      <c r="F547" s="5">
        <v>127.869</v>
      </c>
      <c r="G547" s="3" t="s">
        <v>27</v>
      </c>
      <c r="H547" s="3">
        <f t="shared" si="16"/>
        <v>1</v>
      </c>
      <c r="K547" s="3" t="str">
        <f t="shared" si="17"/>
        <v/>
      </c>
    </row>
    <row r="548" spans="1:11" x14ac:dyDescent="0.25">
      <c r="A548" s="3">
        <v>13</v>
      </c>
      <c r="B548" s="13">
        <v>46258.535289351901</v>
      </c>
      <c r="C548" s="3" t="s">
        <v>38</v>
      </c>
      <c r="D548" s="5">
        <v>0.92100000000000004</v>
      </c>
      <c r="E548" s="3" t="s">
        <v>14</v>
      </c>
      <c r="F548" s="5">
        <v>115.399</v>
      </c>
      <c r="G548" s="3" t="s">
        <v>38</v>
      </c>
      <c r="H548" s="3">
        <f t="shared" si="16"/>
        <v>1</v>
      </c>
      <c r="K548" s="3" t="str">
        <f t="shared" si="17"/>
        <v/>
      </c>
    </row>
    <row r="549" spans="1:11" x14ac:dyDescent="0.25">
      <c r="A549" s="3">
        <v>13</v>
      </c>
      <c r="B549" s="13">
        <v>46258.535451388903</v>
      </c>
      <c r="C549" s="3" t="s">
        <v>30</v>
      </c>
      <c r="D549" s="5">
        <v>0.86199999999999999</v>
      </c>
      <c r="E549" s="3" t="s">
        <v>14</v>
      </c>
      <c r="F549" s="5">
        <v>123.54900000000001</v>
      </c>
      <c r="G549" s="3" t="s">
        <v>30</v>
      </c>
      <c r="H549" s="3">
        <f t="shared" si="16"/>
        <v>1</v>
      </c>
      <c r="K549" s="3" t="str">
        <f t="shared" si="17"/>
        <v/>
      </c>
    </row>
    <row r="550" spans="1:11" x14ac:dyDescent="0.25">
      <c r="A550" s="3">
        <v>13</v>
      </c>
      <c r="B550" s="13">
        <v>46258.535567129598</v>
      </c>
      <c r="C550" s="3" t="s">
        <v>11</v>
      </c>
      <c r="D550" s="5">
        <v>0.70099999999999996</v>
      </c>
      <c r="E550" s="3" t="s">
        <v>12</v>
      </c>
      <c r="F550" s="5">
        <v>164.04599999999999</v>
      </c>
      <c r="G550" s="3" t="s">
        <v>19</v>
      </c>
      <c r="H550" s="3">
        <f t="shared" si="16"/>
        <v>0</v>
      </c>
      <c r="I550" s="3">
        <v>1</v>
      </c>
      <c r="J550" s="3" t="s">
        <v>11</v>
      </c>
      <c r="K550" s="3">
        <f t="shared" si="17"/>
        <v>0</v>
      </c>
    </row>
    <row r="551" spans="1:11" x14ac:dyDescent="0.25">
      <c r="A551" s="3">
        <v>13</v>
      </c>
      <c r="B551" s="13">
        <v>46258.535659722198</v>
      </c>
      <c r="C551" s="3" t="s">
        <v>29</v>
      </c>
      <c r="D551" s="5">
        <v>0.81299999999999994</v>
      </c>
      <c r="E551" s="3" t="s">
        <v>14</v>
      </c>
      <c r="F551" s="5">
        <v>132.28399999999999</v>
      </c>
      <c r="G551" s="3" t="s">
        <v>29</v>
      </c>
      <c r="H551" s="3">
        <f t="shared" si="16"/>
        <v>1</v>
      </c>
      <c r="K551" s="3" t="str">
        <f t="shared" si="17"/>
        <v/>
      </c>
    </row>
    <row r="552" spans="1:11" x14ac:dyDescent="0.25">
      <c r="A552" s="3">
        <v>13</v>
      </c>
      <c r="B552" s="13">
        <v>46258.535856481503</v>
      </c>
      <c r="C552" s="3" t="s">
        <v>15</v>
      </c>
      <c r="D552" s="5">
        <v>0.69</v>
      </c>
      <c r="E552" s="3" t="s">
        <v>14</v>
      </c>
      <c r="F552" s="5">
        <v>125.82899999999999</v>
      </c>
      <c r="G552" s="3" t="s">
        <v>32</v>
      </c>
      <c r="H552" s="3">
        <f t="shared" si="16"/>
        <v>0</v>
      </c>
      <c r="I552" s="3">
        <v>1</v>
      </c>
      <c r="J552" s="3" t="s">
        <v>15</v>
      </c>
      <c r="K552" s="3">
        <f t="shared" si="17"/>
        <v>0</v>
      </c>
    </row>
    <row r="553" spans="1:11" x14ac:dyDescent="0.25">
      <c r="A553" s="3">
        <v>13</v>
      </c>
      <c r="B553" s="13">
        <v>46258.535972222198</v>
      </c>
      <c r="C553" s="3" t="s">
        <v>33</v>
      </c>
      <c r="D553" s="5">
        <v>0.91900000000000004</v>
      </c>
      <c r="E553" s="3" t="s">
        <v>14</v>
      </c>
      <c r="F553" s="5">
        <v>136.245</v>
      </c>
      <c r="G553" s="3" t="s">
        <v>33</v>
      </c>
      <c r="H553" s="3">
        <f t="shared" si="16"/>
        <v>1</v>
      </c>
      <c r="K553" s="3" t="str">
        <f t="shared" si="17"/>
        <v/>
      </c>
    </row>
    <row r="554" spans="1:11" x14ac:dyDescent="0.25">
      <c r="A554" s="3">
        <v>13</v>
      </c>
      <c r="B554" s="13">
        <v>46258.536122685196</v>
      </c>
      <c r="C554" s="3" t="s">
        <v>16</v>
      </c>
      <c r="D554" s="5">
        <v>0.746</v>
      </c>
      <c r="E554" s="3" t="s">
        <v>14</v>
      </c>
      <c r="F554" s="5">
        <v>115.461</v>
      </c>
      <c r="G554" s="3" t="s">
        <v>13</v>
      </c>
      <c r="H554" s="3">
        <f t="shared" si="16"/>
        <v>0</v>
      </c>
      <c r="K554" s="3" t="str">
        <f t="shared" si="17"/>
        <v/>
      </c>
    </row>
    <row r="555" spans="1:11" x14ac:dyDescent="0.25">
      <c r="A555" s="3">
        <v>13</v>
      </c>
      <c r="B555" s="13">
        <v>46258.536331018498</v>
      </c>
      <c r="C555" s="3" t="s">
        <v>16</v>
      </c>
      <c r="D555" s="5">
        <v>0.879</v>
      </c>
      <c r="E555" s="3" t="s">
        <v>14</v>
      </c>
      <c r="F555" s="5">
        <v>104.151</v>
      </c>
      <c r="G555" s="3" t="s">
        <v>16</v>
      </c>
      <c r="H555" s="3">
        <f t="shared" si="16"/>
        <v>1</v>
      </c>
      <c r="K555" s="3" t="str">
        <f t="shared" si="17"/>
        <v/>
      </c>
    </row>
    <row r="556" spans="1:11" x14ac:dyDescent="0.25">
      <c r="A556" s="3">
        <v>13</v>
      </c>
      <c r="B556" s="13">
        <v>46258.536504629599</v>
      </c>
      <c r="C556" s="3" t="s">
        <v>29</v>
      </c>
      <c r="D556" s="5">
        <v>0.83799999999999997</v>
      </c>
      <c r="E556" s="3" t="s">
        <v>14</v>
      </c>
      <c r="F556" s="5">
        <v>165.30500000000001</v>
      </c>
      <c r="G556" s="3" t="s">
        <v>29</v>
      </c>
      <c r="H556" s="3">
        <f t="shared" si="16"/>
        <v>1</v>
      </c>
      <c r="K556" s="3" t="str">
        <f t="shared" si="17"/>
        <v/>
      </c>
    </row>
    <row r="557" spans="1:11" x14ac:dyDescent="0.25">
      <c r="A557" s="3">
        <v>13</v>
      </c>
      <c r="B557" s="13">
        <v>46258.5366319444</v>
      </c>
      <c r="C557" s="3" t="s">
        <v>16</v>
      </c>
      <c r="D557" s="5">
        <v>0.85399999999999998</v>
      </c>
      <c r="E557" s="3" t="s">
        <v>14</v>
      </c>
      <c r="F557" s="5">
        <v>141.042</v>
      </c>
      <c r="G557" s="3" t="s">
        <v>16</v>
      </c>
      <c r="H557" s="3">
        <f t="shared" si="16"/>
        <v>1</v>
      </c>
      <c r="K557" s="3" t="str">
        <f t="shared" si="17"/>
        <v/>
      </c>
    </row>
    <row r="558" spans="1:11" x14ac:dyDescent="0.25">
      <c r="A558" s="3">
        <v>13</v>
      </c>
      <c r="B558" s="13">
        <v>46258.536874999998</v>
      </c>
      <c r="C558" s="3" t="s">
        <v>33</v>
      </c>
      <c r="D558" s="5">
        <v>0.92100000000000004</v>
      </c>
      <c r="E558" s="3" t="s">
        <v>14</v>
      </c>
      <c r="F558" s="5">
        <v>151.56100000000001</v>
      </c>
      <c r="G558" s="3" t="s">
        <v>33</v>
      </c>
      <c r="H558" s="3">
        <f t="shared" si="16"/>
        <v>1</v>
      </c>
      <c r="I558" s="3">
        <v>1</v>
      </c>
      <c r="J558" s="3" t="s">
        <v>33</v>
      </c>
      <c r="K558" s="3">
        <f t="shared" si="17"/>
        <v>1</v>
      </c>
    </row>
    <row r="559" spans="1:11" x14ac:dyDescent="0.25">
      <c r="A559" s="3">
        <v>13</v>
      </c>
      <c r="B559" s="13">
        <v>46258.537187499998</v>
      </c>
      <c r="C559" s="3" t="s">
        <v>18</v>
      </c>
      <c r="D559" s="5">
        <v>0.76200000000000001</v>
      </c>
      <c r="E559" s="3" t="s">
        <v>14</v>
      </c>
      <c r="F559" s="5">
        <v>109.985</v>
      </c>
      <c r="G559" s="3" t="s">
        <v>26</v>
      </c>
      <c r="H559" s="3">
        <f t="shared" si="16"/>
        <v>0</v>
      </c>
      <c r="K559" s="3" t="str">
        <f t="shared" si="17"/>
        <v/>
      </c>
    </row>
    <row r="560" spans="1:11" x14ac:dyDescent="0.25">
      <c r="A560" s="3">
        <v>13</v>
      </c>
      <c r="B560" s="13">
        <v>46258.537326388898</v>
      </c>
      <c r="C560" s="3" t="s">
        <v>39</v>
      </c>
      <c r="D560" s="5">
        <v>0.874</v>
      </c>
      <c r="E560" s="3" t="s">
        <v>14</v>
      </c>
      <c r="F560" s="5">
        <v>130.45400000000001</v>
      </c>
      <c r="G560" s="3" t="s">
        <v>39</v>
      </c>
      <c r="H560" s="3">
        <f t="shared" si="16"/>
        <v>1</v>
      </c>
      <c r="K560" s="3" t="str">
        <f t="shared" si="17"/>
        <v/>
      </c>
    </row>
    <row r="561" spans="1:11" x14ac:dyDescent="0.25">
      <c r="A561" s="3">
        <v>13</v>
      </c>
      <c r="B561" s="13">
        <v>46258.537430555603</v>
      </c>
      <c r="C561" s="3" t="s">
        <v>25</v>
      </c>
      <c r="D561" s="5">
        <v>0.82699999999999996</v>
      </c>
      <c r="E561" s="3" t="s">
        <v>14</v>
      </c>
      <c r="F561" s="5">
        <v>127.28400000000001</v>
      </c>
      <c r="G561" s="3" t="s">
        <v>25</v>
      </c>
      <c r="H561" s="3">
        <f t="shared" si="16"/>
        <v>1</v>
      </c>
      <c r="K561" s="3" t="str">
        <f t="shared" si="17"/>
        <v/>
      </c>
    </row>
    <row r="562" spans="1:11" x14ac:dyDescent="0.25">
      <c r="A562" s="3">
        <v>13</v>
      </c>
      <c r="B562" s="13">
        <v>46258.537557870397</v>
      </c>
      <c r="C562" s="3" t="s">
        <v>32</v>
      </c>
      <c r="D562" s="5">
        <v>0.88600000000000001</v>
      </c>
      <c r="E562" s="3" t="s">
        <v>14</v>
      </c>
      <c r="F562" s="5">
        <v>118.221</v>
      </c>
      <c r="G562" s="3" t="s">
        <v>32</v>
      </c>
      <c r="H562" s="3">
        <f t="shared" si="16"/>
        <v>1</v>
      </c>
      <c r="I562" s="3">
        <v>1</v>
      </c>
      <c r="J562" s="3" t="s">
        <v>32</v>
      </c>
      <c r="K562" s="3">
        <f t="shared" si="17"/>
        <v>1</v>
      </c>
    </row>
    <row r="563" spans="1:11" x14ac:dyDescent="0.25">
      <c r="A563" s="3">
        <v>13</v>
      </c>
      <c r="B563" s="13">
        <v>46258.5378009259</v>
      </c>
      <c r="C563" s="3" t="s">
        <v>37</v>
      </c>
      <c r="D563" s="5">
        <v>0.83499999999999996</v>
      </c>
      <c r="E563" s="3" t="s">
        <v>14</v>
      </c>
      <c r="F563" s="5">
        <v>108.158</v>
      </c>
      <c r="G563" s="3" t="s">
        <v>37</v>
      </c>
      <c r="H563" s="3">
        <f t="shared" si="16"/>
        <v>1</v>
      </c>
      <c r="K563" s="3" t="str">
        <f t="shared" si="17"/>
        <v/>
      </c>
    </row>
    <row r="564" spans="1:11" x14ac:dyDescent="0.25">
      <c r="A564" s="3">
        <v>13</v>
      </c>
      <c r="B564" s="13">
        <v>46258.537881944401</v>
      </c>
      <c r="C564" s="3" t="s">
        <v>25</v>
      </c>
      <c r="D564" s="5">
        <v>0.755</v>
      </c>
      <c r="E564" s="3" t="s">
        <v>14</v>
      </c>
      <c r="F564" s="5">
        <v>109.029</v>
      </c>
      <c r="G564" s="3" t="s">
        <v>36</v>
      </c>
      <c r="H564" s="3">
        <f t="shared" si="16"/>
        <v>0</v>
      </c>
      <c r="I564" s="3">
        <v>1</v>
      </c>
      <c r="J564" s="3" t="s">
        <v>25</v>
      </c>
      <c r="K564" s="3">
        <f t="shared" si="17"/>
        <v>0</v>
      </c>
    </row>
    <row r="565" spans="1:11" x14ac:dyDescent="0.25">
      <c r="A565" s="3">
        <v>13</v>
      </c>
      <c r="B565" s="13">
        <v>46258.538078703699</v>
      </c>
      <c r="C565" s="3" t="s">
        <v>24</v>
      </c>
      <c r="D565" s="5">
        <v>0.90300000000000002</v>
      </c>
      <c r="E565" s="3" t="s">
        <v>14</v>
      </c>
      <c r="F565" s="5">
        <v>133.161</v>
      </c>
      <c r="G565" s="3" t="s">
        <v>24</v>
      </c>
      <c r="H565" s="3">
        <f t="shared" si="16"/>
        <v>1</v>
      </c>
      <c r="K565" s="3" t="str">
        <f t="shared" si="17"/>
        <v/>
      </c>
    </row>
    <row r="566" spans="1:11" x14ac:dyDescent="0.25">
      <c r="A566" s="3">
        <v>13</v>
      </c>
      <c r="B566" s="13">
        <v>46258.5382060185</v>
      </c>
      <c r="C566" s="3" t="s">
        <v>36</v>
      </c>
      <c r="D566" s="5">
        <v>0.94</v>
      </c>
      <c r="E566" s="3" t="s">
        <v>14</v>
      </c>
      <c r="F566" s="5">
        <v>105.002</v>
      </c>
      <c r="G566" s="3" t="s">
        <v>36</v>
      </c>
      <c r="H566" s="3">
        <f t="shared" si="16"/>
        <v>1</v>
      </c>
      <c r="K566" s="3" t="str">
        <f t="shared" si="17"/>
        <v/>
      </c>
    </row>
    <row r="567" spans="1:11" x14ac:dyDescent="0.25">
      <c r="A567" s="3">
        <v>13</v>
      </c>
      <c r="B567" s="13">
        <v>46258.538449074098</v>
      </c>
      <c r="C567" s="3" t="s">
        <v>22</v>
      </c>
      <c r="D567" s="5">
        <v>0.82599999999999996</v>
      </c>
      <c r="E567" s="3" t="s">
        <v>14</v>
      </c>
      <c r="F567" s="5">
        <v>137.983</v>
      </c>
      <c r="G567" s="3" t="s">
        <v>22</v>
      </c>
      <c r="H567" s="3">
        <f t="shared" si="16"/>
        <v>1</v>
      </c>
      <c r="K567" s="3" t="str">
        <f t="shared" si="17"/>
        <v/>
      </c>
    </row>
    <row r="568" spans="1:11" x14ac:dyDescent="0.25">
      <c r="A568" s="3">
        <v>13</v>
      </c>
      <c r="B568" s="13">
        <v>46258.5386574074</v>
      </c>
      <c r="C568" s="3" t="s">
        <v>11</v>
      </c>
      <c r="D568" s="5">
        <v>0.874</v>
      </c>
      <c r="E568" s="3" t="s">
        <v>12</v>
      </c>
      <c r="F568" s="5">
        <v>150.255</v>
      </c>
      <c r="G568" s="3" t="s">
        <v>11</v>
      </c>
      <c r="H568" s="3">
        <f t="shared" si="16"/>
        <v>1</v>
      </c>
      <c r="K568" s="3" t="str">
        <f t="shared" si="17"/>
        <v/>
      </c>
    </row>
    <row r="569" spans="1:11" x14ac:dyDescent="0.25">
      <c r="A569" s="3">
        <v>13</v>
      </c>
      <c r="B569" s="13">
        <v>46258.538807870398</v>
      </c>
      <c r="C569" s="3" t="s">
        <v>30</v>
      </c>
      <c r="D569" s="5">
        <v>0.88700000000000001</v>
      </c>
      <c r="E569" s="3" t="s">
        <v>14</v>
      </c>
      <c r="F569" s="5">
        <v>118.629</v>
      </c>
      <c r="G569" s="3" t="s">
        <v>30</v>
      </c>
      <c r="H569" s="3">
        <f t="shared" si="16"/>
        <v>1</v>
      </c>
      <c r="I569" s="3">
        <v>1</v>
      </c>
      <c r="J569" s="3" t="s">
        <v>30</v>
      </c>
      <c r="K569" s="3">
        <f t="shared" si="17"/>
        <v>1</v>
      </c>
    </row>
    <row r="570" spans="1:11" x14ac:dyDescent="0.25">
      <c r="A570" s="3">
        <v>13</v>
      </c>
      <c r="B570" s="13">
        <v>46258.538912037002</v>
      </c>
      <c r="C570" s="3" t="s">
        <v>33</v>
      </c>
      <c r="D570" s="5">
        <v>0.83899999999999997</v>
      </c>
      <c r="E570" s="3" t="s">
        <v>14</v>
      </c>
      <c r="F570" s="5">
        <v>102.489</v>
      </c>
      <c r="G570" s="3" t="s">
        <v>33</v>
      </c>
      <c r="H570" s="3">
        <f t="shared" si="16"/>
        <v>1</v>
      </c>
      <c r="K570" s="3" t="str">
        <f t="shared" si="17"/>
        <v/>
      </c>
    </row>
    <row r="571" spans="1:11" x14ac:dyDescent="0.25">
      <c r="A571" s="3">
        <v>13</v>
      </c>
      <c r="B571" s="13">
        <v>46258.539097222201</v>
      </c>
      <c r="C571" s="3" t="s">
        <v>11</v>
      </c>
      <c r="D571" s="5">
        <v>0.83099999999999996</v>
      </c>
      <c r="E571" s="3" t="s">
        <v>12</v>
      </c>
      <c r="F571" s="5">
        <v>151.12200000000001</v>
      </c>
      <c r="G571" s="3" t="s">
        <v>11</v>
      </c>
      <c r="H571" s="3">
        <f t="shared" si="16"/>
        <v>1</v>
      </c>
      <c r="K571" s="3" t="str">
        <f t="shared" si="17"/>
        <v/>
      </c>
    </row>
    <row r="572" spans="1:11" x14ac:dyDescent="0.25">
      <c r="A572" s="3">
        <v>13</v>
      </c>
      <c r="B572" s="13">
        <v>46258.539224537002</v>
      </c>
      <c r="C572" s="3" t="s">
        <v>38</v>
      </c>
      <c r="D572" s="5">
        <v>0.96499999999999997</v>
      </c>
      <c r="E572" s="3" t="s">
        <v>14</v>
      </c>
      <c r="F572" s="5">
        <v>101.842</v>
      </c>
      <c r="G572" s="3" t="s">
        <v>38</v>
      </c>
      <c r="H572" s="3">
        <f t="shared" si="16"/>
        <v>1</v>
      </c>
      <c r="K572" s="3" t="str">
        <f t="shared" si="17"/>
        <v/>
      </c>
    </row>
    <row r="573" spans="1:11" x14ac:dyDescent="0.25">
      <c r="A573" s="3">
        <v>13</v>
      </c>
      <c r="B573" s="13">
        <v>46258.5394675926</v>
      </c>
      <c r="C573" s="3" t="s">
        <v>13</v>
      </c>
      <c r="D573" s="5">
        <v>0.79900000000000004</v>
      </c>
      <c r="E573" s="3" t="s">
        <v>14</v>
      </c>
      <c r="F573" s="5">
        <v>133.678</v>
      </c>
      <c r="G573" s="3" t="s">
        <v>35</v>
      </c>
      <c r="H573" s="3">
        <f t="shared" si="16"/>
        <v>0</v>
      </c>
      <c r="I573" s="3">
        <v>1</v>
      </c>
      <c r="J573" s="3" t="s">
        <v>13</v>
      </c>
      <c r="K573" s="3">
        <f t="shared" si="17"/>
        <v>0</v>
      </c>
    </row>
    <row r="574" spans="1:11" x14ac:dyDescent="0.25">
      <c r="A574" s="3">
        <v>13</v>
      </c>
      <c r="B574" s="13">
        <v>46258.539618055598</v>
      </c>
      <c r="C574" s="3" t="s">
        <v>32</v>
      </c>
      <c r="D574" s="5">
        <v>0.86899999999999999</v>
      </c>
      <c r="E574" s="3" t="s">
        <v>14</v>
      </c>
      <c r="F574" s="5">
        <v>118.14700000000001</v>
      </c>
      <c r="G574" s="3" t="s">
        <v>32</v>
      </c>
      <c r="H574" s="3">
        <f t="shared" si="16"/>
        <v>1</v>
      </c>
      <c r="K574" s="3" t="str">
        <f t="shared" si="17"/>
        <v/>
      </c>
    </row>
    <row r="575" spans="1:11" x14ac:dyDescent="0.25">
      <c r="A575" s="3">
        <v>13</v>
      </c>
      <c r="B575" s="13">
        <v>46258.539791666699</v>
      </c>
      <c r="C575" s="3" t="s">
        <v>36</v>
      </c>
      <c r="D575" s="5">
        <v>0.96099999999999997</v>
      </c>
      <c r="E575" s="3" t="s">
        <v>14</v>
      </c>
      <c r="F575" s="5">
        <v>130.12100000000001</v>
      </c>
      <c r="G575" s="3" t="s">
        <v>36</v>
      </c>
      <c r="H575" s="3">
        <f t="shared" si="16"/>
        <v>1</v>
      </c>
      <c r="K575" s="3" t="str">
        <f t="shared" si="17"/>
        <v/>
      </c>
    </row>
    <row r="576" spans="1:11" x14ac:dyDescent="0.25">
      <c r="A576" s="3">
        <v>13</v>
      </c>
      <c r="B576" s="13">
        <v>46258.54</v>
      </c>
      <c r="C576" s="3" t="s">
        <v>16</v>
      </c>
      <c r="D576" s="5">
        <v>0.83</v>
      </c>
      <c r="E576" s="3" t="s">
        <v>14</v>
      </c>
      <c r="F576" s="5">
        <v>149.16999999999999</v>
      </c>
      <c r="G576" s="3" t="s">
        <v>16</v>
      </c>
      <c r="H576" s="3">
        <f t="shared" si="16"/>
        <v>1</v>
      </c>
      <c r="K576" s="3" t="str">
        <f t="shared" si="17"/>
        <v/>
      </c>
    </row>
    <row r="577" spans="1:11" x14ac:dyDescent="0.25">
      <c r="A577" s="3">
        <v>13</v>
      </c>
      <c r="B577" s="13">
        <v>46258.540208333303</v>
      </c>
      <c r="C577" s="3" t="s">
        <v>25</v>
      </c>
      <c r="D577" s="5">
        <v>0.879</v>
      </c>
      <c r="E577" s="3" t="s">
        <v>14</v>
      </c>
      <c r="F577" s="5">
        <v>135.184</v>
      </c>
      <c r="G577" s="3" t="s">
        <v>25</v>
      </c>
      <c r="H577" s="3">
        <f t="shared" si="16"/>
        <v>1</v>
      </c>
      <c r="K577" s="3" t="str">
        <f t="shared" si="17"/>
        <v/>
      </c>
    </row>
    <row r="578" spans="1:11" x14ac:dyDescent="0.25">
      <c r="A578" s="3">
        <v>13</v>
      </c>
      <c r="B578" s="13">
        <v>46258.5403240741</v>
      </c>
      <c r="C578" s="3" t="s">
        <v>38</v>
      </c>
      <c r="D578" s="5">
        <v>0.875</v>
      </c>
      <c r="E578" s="3" t="s">
        <v>14</v>
      </c>
      <c r="F578" s="5">
        <v>141.74</v>
      </c>
      <c r="G578" s="3" t="s">
        <v>38</v>
      </c>
      <c r="H578" s="3">
        <f t="shared" ref="H578:H641" si="18">IF(C578=G578,1,0)</f>
        <v>1</v>
      </c>
      <c r="I578" s="3">
        <v>1</v>
      </c>
      <c r="J578" s="3" t="s">
        <v>38</v>
      </c>
      <c r="K578" s="3">
        <f t="shared" ref="K578:K641" si="19">IF(J578="","",IF(J578=G578,1,0))</f>
        <v>1</v>
      </c>
    </row>
    <row r="579" spans="1:11" x14ac:dyDescent="0.25">
      <c r="A579" s="3">
        <v>13</v>
      </c>
      <c r="B579" s="13">
        <v>46258.540520833303</v>
      </c>
      <c r="C579" s="3" t="s">
        <v>30</v>
      </c>
      <c r="D579" s="5">
        <v>0.755</v>
      </c>
      <c r="E579" s="3" t="s">
        <v>14</v>
      </c>
      <c r="F579" s="5">
        <v>161.21299999999999</v>
      </c>
      <c r="G579" s="3" t="s">
        <v>27</v>
      </c>
      <c r="H579" s="3">
        <f t="shared" si="18"/>
        <v>0</v>
      </c>
      <c r="K579" s="3" t="str">
        <f t="shared" si="19"/>
        <v/>
      </c>
    </row>
    <row r="580" spans="1:11" x14ac:dyDescent="0.25">
      <c r="A580" s="3">
        <v>13</v>
      </c>
      <c r="B580" s="13">
        <v>46258.540706018503</v>
      </c>
      <c r="C580" s="3" t="s">
        <v>17</v>
      </c>
      <c r="D580" s="5">
        <v>0.88700000000000001</v>
      </c>
      <c r="E580" s="3" t="s">
        <v>14</v>
      </c>
      <c r="F580" s="5">
        <v>112.795</v>
      </c>
      <c r="G580" s="3" t="s">
        <v>17</v>
      </c>
      <c r="H580" s="3">
        <f t="shared" si="18"/>
        <v>1</v>
      </c>
      <c r="K580" s="3" t="str">
        <f t="shared" si="19"/>
        <v/>
      </c>
    </row>
    <row r="581" spans="1:11" x14ac:dyDescent="0.25">
      <c r="A581" s="3">
        <v>13</v>
      </c>
      <c r="B581" s="13">
        <v>46258.540856481501</v>
      </c>
      <c r="C581" s="3" t="s">
        <v>36</v>
      </c>
      <c r="D581" s="5">
        <v>0.86099999999999999</v>
      </c>
      <c r="E581" s="3" t="s">
        <v>14</v>
      </c>
      <c r="F581" s="5">
        <v>115.41</v>
      </c>
      <c r="G581" s="3" t="s">
        <v>36</v>
      </c>
      <c r="H581" s="3">
        <f t="shared" si="18"/>
        <v>1</v>
      </c>
      <c r="I581" s="3">
        <v>1</v>
      </c>
      <c r="J581" s="3" t="s">
        <v>36</v>
      </c>
      <c r="K581" s="3">
        <f t="shared" si="19"/>
        <v>1</v>
      </c>
    </row>
    <row r="582" spans="1:11" x14ac:dyDescent="0.25">
      <c r="A582" s="3">
        <v>13</v>
      </c>
      <c r="B582" s="13">
        <v>46258.541053240697</v>
      </c>
      <c r="C582" s="3" t="s">
        <v>36</v>
      </c>
      <c r="D582" s="5">
        <v>0.78300000000000003</v>
      </c>
      <c r="E582" s="3" t="s">
        <v>14</v>
      </c>
      <c r="F582" s="5">
        <v>140.327</v>
      </c>
      <c r="G582" s="3" t="s">
        <v>29</v>
      </c>
      <c r="H582" s="3">
        <f t="shared" si="18"/>
        <v>0</v>
      </c>
      <c r="K582" s="3" t="str">
        <f t="shared" si="19"/>
        <v/>
      </c>
    </row>
    <row r="583" spans="1:11" x14ac:dyDescent="0.25">
      <c r="A583" s="3">
        <v>13</v>
      </c>
      <c r="B583" s="13">
        <v>46258.541203703702</v>
      </c>
      <c r="C583" s="3" t="s">
        <v>23</v>
      </c>
      <c r="D583" s="5">
        <v>0.93700000000000006</v>
      </c>
      <c r="E583" s="3" t="s">
        <v>14</v>
      </c>
      <c r="F583" s="5">
        <v>109.452</v>
      </c>
      <c r="G583" s="3" t="s">
        <v>23</v>
      </c>
      <c r="H583" s="3">
        <f t="shared" si="18"/>
        <v>1</v>
      </c>
      <c r="I583" s="3">
        <v>1</v>
      </c>
      <c r="J583" s="3" t="s">
        <v>23</v>
      </c>
      <c r="K583" s="3">
        <f t="shared" si="19"/>
        <v>1</v>
      </c>
    </row>
    <row r="584" spans="1:11" x14ac:dyDescent="0.25">
      <c r="A584" s="3">
        <v>13</v>
      </c>
      <c r="B584" s="13">
        <v>46258.541342592602</v>
      </c>
      <c r="C584" s="3" t="s">
        <v>28</v>
      </c>
      <c r="D584" s="5">
        <v>0.94299999999999995</v>
      </c>
      <c r="E584" s="3" t="s">
        <v>14</v>
      </c>
      <c r="F584" s="5">
        <v>113.79300000000001</v>
      </c>
      <c r="G584" s="3" t="s">
        <v>28</v>
      </c>
      <c r="H584" s="3">
        <f t="shared" si="18"/>
        <v>1</v>
      </c>
      <c r="K584" s="3" t="str">
        <f t="shared" si="19"/>
        <v/>
      </c>
    </row>
    <row r="585" spans="1:11" x14ac:dyDescent="0.25">
      <c r="A585" s="3">
        <v>13</v>
      </c>
      <c r="B585" s="13">
        <v>46258.541469907403</v>
      </c>
      <c r="C585" s="3" t="s">
        <v>32</v>
      </c>
      <c r="D585" s="5">
        <v>0.84799999999999998</v>
      </c>
      <c r="E585" s="3" t="s">
        <v>14</v>
      </c>
      <c r="F585" s="5">
        <v>137.97999999999999</v>
      </c>
      <c r="G585" s="3" t="s">
        <v>32</v>
      </c>
      <c r="H585" s="3">
        <f t="shared" si="18"/>
        <v>1</v>
      </c>
      <c r="K585" s="3" t="str">
        <f t="shared" si="19"/>
        <v/>
      </c>
    </row>
    <row r="586" spans="1:11" x14ac:dyDescent="0.25">
      <c r="A586" s="3">
        <v>14</v>
      </c>
      <c r="B586" s="13">
        <v>46258.546550925901</v>
      </c>
      <c r="C586" s="3" t="s">
        <v>39</v>
      </c>
      <c r="D586" s="5">
        <v>0.754</v>
      </c>
      <c r="E586" s="3" t="s">
        <v>14</v>
      </c>
      <c r="F586" s="5">
        <v>126.64700000000001</v>
      </c>
      <c r="G586" s="3" t="s">
        <v>34</v>
      </c>
      <c r="H586" s="3">
        <f t="shared" si="18"/>
        <v>0</v>
      </c>
      <c r="K586" s="3" t="str">
        <f t="shared" si="19"/>
        <v/>
      </c>
    </row>
    <row r="587" spans="1:11" x14ac:dyDescent="0.25">
      <c r="A587" s="3">
        <v>14</v>
      </c>
      <c r="B587" s="13">
        <v>46258.546631944497</v>
      </c>
      <c r="C587" s="3" t="s">
        <v>23</v>
      </c>
      <c r="D587" s="5">
        <v>0.99</v>
      </c>
      <c r="E587" s="3" t="s">
        <v>14</v>
      </c>
      <c r="F587" s="5">
        <v>129.791</v>
      </c>
      <c r="G587" s="3" t="s">
        <v>23</v>
      </c>
      <c r="H587" s="3">
        <f t="shared" si="18"/>
        <v>1</v>
      </c>
      <c r="K587" s="3" t="str">
        <f t="shared" si="19"/>
        <v/>
      </c>
    </row>
    <row r="588" spans="1:11" x14ac:dyDescent="0.25">
      <c r="A588" s="3">
        <v>14</v>
      </c>
      <c r="B588" s="13">
        <v>46258.546759259298</v>
      </c>
      <c r="C588" s="3" t="s">
        <v>26</v>
      </c>
      <c r="D588" s="5">
        <v>0.99</v>
      </c>
      <c r="E588" s="3" t="s">
        <v>14</v>
      </c>
      <c r="F588" s="5">
        <v>154.18</v>
      </c>
      <c r="G588" s="3" t="s">
        <v>26</v>
      </c>
      <c r="H588" s="3">
        <f t="shared" si="18"/>
        <v>1</v>
      </c>
      <c r="K588" s="3" t="str">
        <f t="shared" si="19"/>
        <v/>
      </c>
    </row>
    <row r="589" spans="1:11" x14ac:dyDescent="0.25">
      <c r="A589" s="3">
        <v>14</v>
      </c>
      <c r="B589" s="13">
        <v>46258.5469212963</v>
      </c>
      <c r="C589" s="3" t="s">
        <v>39</v>
      </c>
      <c r="D589" s="5">
        <v>0.94099999999999995</v>
      </c>
      <c r="E589" s="3" t="s">
        <v>14</v>
      </c>
      <c r="F589" s="5">
        <v>132.87299999999999</v>
      </c>
      <c r="G589" s="3" t="s">
        <v>39</v>
      </c>
      <c r="H589" s="3">
        <f t="shared" si="18"/>
        <v>1</v>
      </c>
      <c r="K589" s="3" t="str">
        <f t="shared" si="19"/>
        <v/>
      </c>
    </row>
    <row r="590" spans="1:11" x14ac:dyDescent="0.25">
      <c r="A590" s="3">
        <v>14</v>
      </c>
      <c r="B590" s="13">
        <v>46258.5471412037</v>
      </c>
      <c r="C590" s="3" t="s">
        <v>31</v>
      </c>
      <c r="D590" s="5">
        <v>0.78500000000000003</v>
      </c>
      <c r="E590" s="3" t="s">
        <v>14</v>
      </c>
      <c r="F590" s="5">
        <v>119.89100000000001</v>
      </c>
      <c r="G590" s="3" t="s">
        <v>31</v>
      </c>
      <c r="H590" s="3">
        <f t="shared" si="18"/>
        <v>1</v>
      </c>
      <c r="K590" s="3" t="str">
        <f t="shared" si="19"/>
        <v/>
      </c>
    </row>
    <row r="591" spans="1:11" x14ac:dyDescent="0.25">
      <c r="A591" s="3">
        <v>14</v>
      </c>
      <c r="B591" s="13">
        <v>46258.547245370399</v>
      </c>
      <c r="C591" s="3" t="s">
        <v>35</v>
      </c>
      <c r="D591" s="5">
        <v>0.92600000000000005</v>
      </c>
      <c r="E591" s="3" t="s">
        <v>14</v>
      </c>
      <c r="F591" s="5">
        <v>109.952</v>
      </c>
      <c r="G591" s="3" t="s">
        <v>35</v>
      </c>
      <c r="H591" s="3">
        <f t="shared" si="18"/>
        <v>1</v>
      </c>
      <c r="I591" s="3">
        <v>1</v>
      </c>
      <c r="J591" s="3" t="s">
        <v>35</v>
      </c>
      <c r="K591" s="3">
        <f t="shared" si="19"/>
        <v>1</v>
      </c>
    </row>
    <row r="592" spans="1:11" x14ac:dyDescent="0.25">
      <c r="A592" s="3">
        <v>14</v>
      </c>
      <c r="B592" s="13">
        <v>46258.547523148198</v>
      </c>
      <c r="C592" s="3" t="s">
        <v>19</v>
      </c>
      <c r="D592" s="5">
        <v>0.91400000000000003</v>
      </c>
      <c r="E592" s="3" t="s">
        <v>14</v>
      </c>
      <c r="F592" s="5">
        <v>136.29300000000001</v>
      </c>
      <c r="G592" s="3" t="s">
        <v>19</v>
      </c>
      <c r="H592" s="3">
        <f t="shared" si="18"/>
        <v>1</v>
      </c>
      <c r="I592" s="3">
        <v>1</v>
      </c>
      <c r="J592" s="3" t="s">
        <v>11</v>
      </c>
      <c r="K592" s="3">
        <f t="shared" si="19"/>
        <v>0</v>
      </c>
    </row>
    <row r="593" spans="1:11" x14ac:dyDescent="0.25">
      <c r="A593" s="3">
        <v>14</v>
      </c>
      <c r="B593" s="13">
        <v>46258.547662037003</v>
      </c>
      <c r="C593" s="3" t="s">
        <v>18</v>
      </c>
      <c r="D593" s="5">
        <v>0.97899999999999998</v>
      </c>
      <c r="E593" s="3" t="s">
        <v>14</v>
      </c>
      <c r="F593" s="5">
        <v>128.154</v>
      </c>
      <c r="G593" s="3" t="s">
        <v>18</v>
      </c>
      <c r="H593" s="3">
        <f t="shared" si="18"/>
        <v>1</v>
      </c>
      <c r="K593" s="3" t="str">
        <f t="shared" si="19"/>
        <v/>
      </c>
    </row>
    <row r="594" spans="1:11" x14ac:dyDescent="0.25">
      <c r="A594" s="3">
        <v>14</v>
      </c>
      <c r="B594" s="13">
        <v>46258.547800925902</v>
      </c>
      <c r="C594" s="3" t="s">
        <v>39</v>
      </c>
      <c r="D594" s="5">
        <v>0.74</v>
      </c>
      <c r="E594" s="3" t="s">
        <v>14</v>
      </c>
      <c r="F594" s="5">
        <v>129.21199999999999</v>
      </c>
      <c r="G594" s="3" t="s">
        <v>11</v>
      </c>
      <c r="H594" s="3">
        <f t="shared" si="18"/>
        <v>0</v>
      </c>
      <c r="K594" s="3" t="str">
        <f t="shared" si="19"/>
        <v/>
      </c>
    </row>
    <row r="595" spans="1:11" x14ac:dyDescent="0.25">
      <c r="A595" s="3">
        <v>14</v>
      </c>
      <c r="B595" s="13">
        <v>46258.5479976852</v>
      </c>
      <c r="C595" s="3" t="s">
        <v>22</v>
      </c>
      <c r="D595" s="5">
        <v>0.88</v>
      </c>
      <c r="E595" s="3" t="s">
        <v>14</v>
      </c>
      <c r="F595" s="5">
        <v>114.126</v>
      </c>
      <c r="G595" s="3" t="s">
        <v>22</v>
      </c>
      <c r="H595" s="3">
        <f t="shared" si="18"/>
        <v>1</v>
      </c>
      <c r="K595" s="3" t="str">
        <f t="shared" si="19"/>
        <v/>
      </c>
    </row>
    <row r="596" spans="1:11" x14ac:dyDescent="0.25">
      <c r="A596" s="3">
        <v>14</v>
      </c>
      <c r="B596" s="13">
        <v>46258.548298611102</v>
      </c>
      <c r="C596" s="3" t="s">
        <v>24</v>
      </c>
      <c r="D596" s="5">
        <v>0.91600000000000004</v>
      </c>
      <c r="E596" s="3" t="s">
        <v>14</v>
      </c>
      <c r="F596" s="5">
        <v>90.465999999999994</v>
      </c>
      <c r="G596" s="3" t="s">
        <v>24</v>
      </c>
      <c r="H596" s="3">
        <f t="shared" si="18"/>
        <v>1</v>
      </c>
      <c r="K596" s="3" t="str">
        <f t="shared" si="19"/>
        <v/>
      </c>
    </row>
    <row r="597" spans="1:11" x14ac:dyDescent="0.25">
      <c r="A597" s="3">
        <v>14</v>
      </c>
      <c r="B597" s="13">
        <v>46258.5484027778</v>
      </c>
      <c r="C597" s="3" t="s">
        <v>29</v>
      </c>
      <c r="D597" s="5">
        <v>0.84299999999999997</v>
      </c>
      <c r="E597" s="3" t="s">
        <v>14</v>
      </c>
      <c r="F597" s="5">
        <v>98.358999999999995</v>
      </c>
      <c r="G597" s="3" t="s">
        <v>29</v>
      </c>
      <c r="H597" s="3">
        <f t="shared" si="18"/>
        <v>1</v>
      </c>
      <c r="K597" s="3" t="str">
        <f t="shared" si="19"/>
        <v/>
      </c>
    </row>
    <row r="598" spans="1:11" x14ac:dyDescent="0.25">
      <c r="A598" s="3">
        <v>14</v>
      </c>
      <c r="B598" s="13">
        <v>46258.548622685201</v>
      </c>
      <c r="C598" s="3" t="s">
        <v>16</v>
      </c>
      <c r="D598" s="5">
        <v>0.83099999999999996</v>
      </c>
      <c r="E598" s="3" t="s">
        <v>14</v>
      </c>
      <c r="F598" s="5">
        <v>148.03</v>
      </c>
      <c r="G598" s="3" t="s">
        <v>16</v>
      </c>
      <c r="H598" s="3">
        <f t="shared" si="18"/>
        <v>1</v>
      </c>
      <c r="K598" s="3" t="str">
        <f t="shared" si="19"/>
        <v/>
      </c>
    </row>
    <row r="599" spans="1:11" x14ac:dyDescent="0.25">
      <c r="A599" s="3">
        <v>14</v>
      </c>
      <c r="B599" s="13">
        <v>46258.548715277801</v>
      </c>
      <c r="C599" s="3" t="s">
        <v>33</v>
      </c>
      <c r="D599" s="5">
        <v>0.81799999999999995</v>
      </c>
      <c r="E599" s="3" t="s">
        <v>14</v>
      </c>
      <c r="F599" s="5">
        <v>115.425</v>
      </c>
      <c r="G599" s="3" t="s">
        <v>33</v>
      </c>
      <c r="H599" s="3">
        <f t="shared" si="18"/>
        <v>1</v>
      </c>
      <c r="K599" s="3" t="str">
        <f t="shared" si="19"/>
        <v/>
      </c>
    </row>
    <row r="600" spans="1:11" x14ac:dyDescent="0.25">
      <c r="A600" s="3">
        <v>14</v>
      </c>
      <c r="B600" s="13">
        <v>46258.548831018503</v>
      </c>
      <c r="C600" s="3" t="s">
        <v>15</v>
      </c>
      <c r="D600" s="5">
        <v>0.94599999999999995</v>
      </c>
      <c r="E600" s="3" t="s">
        <v>14</v>
      </c>
      <c r="F600" s="5">
        <v>125.509</v>
      </c>
      <c r="G600" s="3" t="s">
        <v>15</v>
      </c>
      <c r="H600" s="3">
        <f t="shared" si="18"/>
        <v>1</v>
      </c>
      <c r="K600" s="3" t="str">
        <f t="shared" si="19"/>
        <v/>
      </c>
    </row>
    <row r="601" spans="1:11" x14ac:dyDescent="0.25">
      <c r="A601" s="3">
        <v>14</v>
      </c>
      <c r="B601" s="13">
        <v>46258.549027777801</v>
      </c>
      <c r="C601" s="3" t="s">
        <v>36</v>
      </c>
      <c r="D601" s="5">
        <v>0.92200000000000004</v>
      </c>
      <c r="E601" s="3" t="s">
        <v>14</v>
      </c>
      <c r="F601" s="5">
        <v>100.596</v>
      </c>
      <c r="G601" s="3" t="s">
        <v>36</v>
      </c>
      <c r="H601" s="3">
        <f t="shared" si="18"/>
        <v>1</v>
      </c>
      <c r="I601" s="3">
        <v>1</v>
      </c>
      <c r="J601" s="3" t="s">
        <v>36</v>
      </c>
      <c r="K601" s="3">
        <f t="shared" si="19"/>
        <v>1</v>
      </c>
    </row>
    <row r="602" spans="1:11" x14ac:dyDescent="0.25">
      <c r="A602" s="3">
        <v>14</v>
      </c>
      <c r="B602" s="13">
        <v>46258.549178240697</v>
      </c>
      <c r="C602" s="3" t="s">
        <v>25</v>
      </c>
      <c r="D602" s="5">
        <v>0.83</v>
      </c>
      <c r="E602" s="3" t="s">
        <v>14</v>
      </c>
      <c r="F602" s="5">
        <v>95.212999999999994</v>
      </c>
      <c r="G602" s="3" t="s">
        <v>25</v>
      </c>
      <c r="H602" s="3">
        <f t="shared" si="18"/>
        <v>1</v>
      </c>
      <c r="K602" s="3" t="str">
        <f t="shared" si="19"/>
        <v/>
      </c>
    </row>
    <row r="603" spans="1:11" x14ac:dyDescent="0.25">
      <c r="A603" s="3">
        <v>14</v>
      </c>
      <c r="B603" s="13">
        <v>46258.5493981482</v>
      </c>
      <c r="C603" s="3" t="s">
        <v>21</v>
      </c>
      <c r="D603" s="5">
        <v>0.92500000000000004</v>
      </c>
      <c r="E603" s="3" t="s">
        <v>14</v>
      </c>
      <c r="F603" s="5">
        <v>121.598</v>
      </c>
      <c r="G603" s="3" t="s">
        <v>21</v>
      </c>
      <c r="H603" s="3">
        <f t="shared" si="18"/>
        <v>1</v>
      </c>
      <c r="K603" s="3" t="str">
        <f t="shared" si="19"/>
        <v/>
      </c>
    </row>
    <row r="604" spans="1:11" x14ac:dyDescent="0.25">
      <c r="A604" s="3">
        <v>14</v>
      </c>
      <c r="B604" s="13">
        <v>46258.549594907403</v>
      </c>
      <c r="C604" s="3" t="s">
        <v>37</v>
      </c>
      <c r="D604" s="5">
        <v>0.85799999999999998</v>
      </c>
      <c r="E604" s="3" t="s">
        <v>14</v>
      </c>
      <c r="F604" s="5">
        <v>120.35299999999999</v>
      </c>
      <c r="G604" s="3" t="s">
        <v>20</v>
      </c>
      <c r="H604" s="3">
        <f t="shared" si="18"/>
        <v>0</v>
      </c>
      <c r="K604" s="3" t="str">
        <f t="shared" si="19"/>
        <v/>
      </c>
    </row>
    <row r="605" spans="1:11" x14ac:dyDescent="0.25">
      <c r="A605" s="3">
        <v>14</v>
      </c>
      <c r="B605" s="13">
        <v>46258.549745370401</v>
      </c>
      <c r="C605" s="3" t="s">
        <v>30</v>
      </c>
      <c r="D605" s="5">
        <v>0.93700000000000006</v>
      </c>
      <c r="E605" s="3" t="s">
        <v>14</v>
      </c>
      <c r="F605" s="5">
        <v>141.20500000000001</v>
      </c>
      <c r="G605" s="3" t="s">
        <v>30</v>
      </c>
      <c r="H605" s="3">
        <f t="shared" si="18"/>
        <v>1</v>
      </c>
      <c r="I605" s="3">
        <v>1</v>
      </c>
      <c r="J605" s="3" t="s">
        <v>30</v>
      </c>
      <c r="K605" s="3">
        <f t="shared" si="19"/>
        <v>1</v>
      </c>
    </row>
    <row r="606" spans="1:11" x14ac:dyDescent="0.25">
      <c r="A606" s="3">
        <v>14</v>
      </c>
      <c r="B606" s="13">
        <v>46258.549907407403</v>
      </c>
      <c r="C606" s="3" t="s">
        <v>28</v>
      </c>
      <c r="D606" s="5">
        <v>0.94799999999999995</v>
      </c>
      <c r="E606" s="3" t="s">
        <v>14</v>
      </c>
      <c r="F606" s="5">
        <v>123.07899999999999</v>
      </c>
      <c r="G606" s="3" t="s">
        <v>28</v>
      </c>
      <c r="H606" s="3">
        <f t="shared" si="18"/>
        <v>1</v>
      </c>
      <c r="I606" s="3">
        <v>1</v>
      </c>
      <c r="J606" s="3" t="s">
        <v>28</v>
      </c>
      <c r="K606" s="3">
        <f t="shared" si="19"/>
        <v>1</v>
      </c>
    </row>
    <row r="607" spans="1:11" x14ac:dyDescent="0.25">
      <c r="A607" s="3">
        <v>14</v>
      </c>
      <c r="B607" s="13">
        <v>46258.550138888902</v>
      </c>
      <c r="C607" s="3" t="s">
        <v>37</v>
      </c>
      <c r="D607" s="5">
        <v>0.90100000000000002</v>
      </c>
      <c r="E607" s="3" t="s">
        <v>14</v>
      </c>
      <c r="F607" s="5">
        <v>85</v>
      </c>
      <c r="G607" s="3" t="s">
        <v>37</v>
      </c>
      <c r="H607" s="3">
        <f t="shared" si="18"/>
        <v>1</v>
      </c>
      <c r="I607" s="3">
        <v>1</v>
      </c>
      <c r="J607" s="3" t="s">
        <v>37</v>
      </c>
      <c r="K607" s="3">
        <f t="shared" si="19"/>
        <v>1</v>
      </c>
    </row>
    <row r="608" spans="1:11" x14ac:dyDescent="0.25">
      <c r="A608" s="3">
        <v>14</v>
      </c>
      <c r="B608" s="13">
        <v>46258.550289351901</v>
      </c>
      <c r="C608" s="3" t="s">
        <v>13</v>
      </c>
      <c r="D608" s="5">
        <v>0.82299999999999995</v>
      </c>
      <c r="E608" s="3" t="s">
        <v>14</v>
      </c>
      <c r="F608" s="5">
        <v>125.322</v>
      </c>
      <c r="G608" s="3" t="s">
        <v>13</v>
      </c>
      <c r="H608" s="3">
        <f t="shared" si="18"/>
        <v>1</v>
      </c>
      <c r="I608" s="3">
        <v>1</v>
      </c>
      <c r="J608" s="3" t="s">
        <v>13</v>
      </c>
      <c r="K608" s="3">
        <f t="shared" si="19"/>
        <v>1</v>
      </c>
    </row>
    <row r="609" spans="1:11" x14ac:dyDescent="0.25">
      <c r="A609" s="3">
        <v>14</v>
      </c>
      <c r="B609" s="13">
        <v>46258.550381944398</v>
      </c>
      <c r="C609" s="3" t="s">
        <v>34</v>
      </c>
      <c r="D609" s="5">
        <v>0.82</v>
      </c>
      <c r="E609" s="3" t="s">
        <v>14</v>
      </c>
      <c r="F609" s="5">
        <v>101.45099999999999</v>
      </c>
      <c r="G609" s="3" t="s">
        <v>38</v>
      </c>
      <c r="H609" s="3">
        <f t="shared" si="18"/>
        <v>0</v>
      </c>
      <c r="K609" s="3" t="str">
        <f t="shared" si="19"/>
        <v/>
      </c>
    </row>
    <row r="610" spans="1:11" x14ac:dyDescent="0.25">
      <c r="A610" s="3">
        <v>14</v>
      </c>
      <c r="B610" s="13">
        <v>46258.550532407397</v>
      </c>
      <c r="C610" s="3" t="s">
        <v>13</v>
      </c>
      <c r="D610" s="5">
        <v>0.76300000000000001</v>
      </c>
      <c r="E610" s="3" t="s">
        <v>14</v>
      </c>
      <c r="F610" s="5">
        <v>120.47499999999999</v>
      </c>
      <c r="G610" s="3" t="s">
        <v>35</v>
      </c>
      <c r="H610" s="3">
        <f t="shared" si="18"/>
        <v>0</v>
      </c>
      <c r="K610" s="3" t="str">
        <f t="shared" si="19"/>
        <v/>
      </c>
    </row>
    <row r="611" spans="1:11" x14ac:dyDescent="0.25">
      <c r="A611" s="3">
        <v>14</v>
      </c>
      <c r="B611" s="13">
        <v>46258.550648148201</v>
      </c>
      <c r="C611" s="3" t="s">
        <v>31</v>
      </c>
      <c r="D611" s="5">
        <v>0.90700000000000003</v>
      </c>
      <c r="E611" s="3" t="s">
        <v>14</v>
      </c>
      <c r="F611" s="5">
        <v>126.797</v>
      </c>
      <c r="G611" s="3" t="s">
        <v>31</v>
      </c>
      <c r="H611" s="3">
        <f t="shared" si="18"/>
        <v>1</v>
      </c>
      <c r="K611" s="3" t="str">
        <f t="shared" si="19"/>
        <v/>
      </c>
    </row>
    <row r="612" spans="1:11" x14ac:dyDescent="0.25">
      <c r="A612" s="3">
        <v>14</v>
      </c>
      <c r="B612" s="13">
        <v>46258.550798611097</v>
      </c>
      <c r="C612" s="3" t="s">
        <v>37</v>
      </c>
      <c r="D612" s="5">
        <v>0.88200000000000001</v>
      </c>
      <c r="E612" s="3" t="s">
        <v>14</v>
      </c>
      <c r="F612" s="5">
        <v>121.104</v>
      </c>
      <c r="G612" s="3" t="s">
        <v>37</v>
      </c>
      <c r="H612" s="3">
        <f t="shared" si="18"/>
        <v>1</v>
      </c>
      <c r="K612" s="3" t="str">
        <f t="shared" si="19"/>
        <v/>
      </c>
    </row>
    <row r="613" spans="1:11" x14ac:dyDescent="0.25">
      <c r="A613" s="3">
        <v>14</v>
      </c>
      <c r="B613" s="13">
        <v>46258.550960648201</v>
      </c>
      <c r="C613" s="3" t="s">
        <v>32</v>
      </c>
      <c r="D613" s="5">
        <v>0.748</v>
      </c>
      <c r="E613" s="3" t="s">
        <v>14</v>
      </c>
      <c r="F613" s="5">
        <v>116.23</v>
      </c>
      <c r="G613" s="3" t="s">
        <v>15</v>
      </c>
      <c r="H613" s="3">
        <f t="shared" si="18"/>
        <v>0</v>
      </c>
      <c r="I613" s="3">
        <v>1</v>
      </c>
      <c r="J613" s="3" t="s">
        <v>32</v>
      </c>
      <c r="K613" s="3">
        <f t="shared" si="19"/>
        <v>0</v>
      </c>
    </row>
    <row r="614" spans="1:11" x14ac:dyDescent="0.25">
      <c r="A614" s="3">
        <v>14</v>
      </c>
      <c r="B614" s="13">
        <v>46258.551111111097</v>
      </c>
      <c r="C614" s="3" t="s">
        <v>37</v>
      </c>
      <c r="D614" s="5">
        <v>0.92500000000000004</v>
      </c>
      <c r="E614" s="3" t="s">
        <v>14</v>
      </c>
      <c r="F614" s="5">
        <v>113.34699999999999</v>
      </c>
      <c r="G614" s="3" t="s">
        <v>37</v>
      </c>
      <c r="H614" s="3">
        <f t="shared" si="18"/>
        <v>1</v>
      </c>
      <c r="K614" s="3" t="str">
        <f t="shared" si="19"/>
        <v/>
      </c>
    </row>
    <row r="615" spans="1:11" x14ac:dyDescent="0.25">
      <c r="A615" s="3">
        <v>14</v>
      </c>
      <c r="B615" s="13">
        <v>46258.551238425898</v>
      </c>
      <c r="C615" s="3" t="s">
        <v>21</v>
      </c>
      <c r="D615" s="5">
        <v>0.85099999999999998</v>
      </c>
      <c r="E615" s="3" t="s">
        <v>14</v>
      </c>
      <c r="F615" s="5">
        <v>103.64</v>
      </c>
      <c r="G615" s="3" t="s">
        <v>21</v>
      </c>
      <c r="H615" s="3">
        <f t="shared" si="18"/>
        <v>1</v>
      </c>
      <c r="K615" s="3" t="str">
        <f t="shared" si="19"/>
        <v/>
      </c>
    </row>
    <row r="616" spans="1:11" x14ac:dyDescent="0.25">
      <c r="A616" s="3">
        <v>14</v>
      </c>
      <c r="B616" s="13">
        <v>46258.551504629599</v>
      </c>
      <c r="C616" s="3" t="s">
        <v>28</v>
      </c>
      <c r="D616" s="5">
        <v>0.91900000000000004</v>
      </c>
      <c r="E616" s="3" t="s">
        <v>14</v>
      </c>
      <c r="F616" s="5">
        <v>85</v>
      </c>
      <c r="G616" s="3" t="s">
        <v>28</v>
      </c>
      <c r="H616" s="3">
        <f t="shared" si="18"/>
        <v>1</v>
      </c>
      <c r="I616" s="3">
        <v>1</v>
      </c>
      <c r="J616" s="3" t="s">
        <v>22</v>
      </c>
      <c r="K616" s="3">
        <f t="shared" si="19"/>
        <v>0</v>
      </c>
    </row>
    <row r="617" spans="1:11" x14ac:dyDescent="0.25">
      <c r="A617" s="3">
        <v>14</v>
      </c>
      <c r="B617" s="13">
        <v>46258.551620370403</v>
      </c>
      <c r="C617" s="3" t="s">
        <v>31</v>
      </c>
      <c r="D617" s="5">
        <v>0.93300000000000005</v>
      </c>
      <c r="E617" s="3" t="s">
        <v>14</v>
      </c>
      <c r="F617" s="5">
        <v>139.673</v>
      </c>
      <c r="G617" s="3" t="s">
        <v>31</v>
      </c>
      <c r="H617" s="3">
        <f t="shared" si="18"/>
        <v>1</v>
      </c>
      <c r="K617" s="3" t="str">
        <f t="shared" si="19"/>
        <v/>
      </c>
    </row>
    <row r="618" spans="1:11" x14ac:dyDescent="0.25">
      <c r="A618" s="3">
        <v>14</v>
      </c>
      <c r="B618" s="13">
        <v>46258.551747685196</v>
      </c>
      <c r="C618" s="3" t="s">
        <v>19</v>
      </c>
      <c r="D618" s="5">
        <v>0.75600000000000001</v>
      </c>
      <c r="E618" s="3" t="s">
        <v>14</v>
      </c>
      <c r="F618" s="5">
        <v>106.779</v>
      </c>
      <c r="G618" s="3" t="s">
        <v>11</v>
      </c>
      <c r="H618" s="3">
        <f t="shared" si="18"/>
        <v>0</v>
      </c>
      <c r="K618" s="3" t="str">
        <f t="shared" si="19"/>
        <v/>
      </c>
    </row>
    <row r="619" spans="1:11" x14ac:dyDescent="0.25">
      <c r="A619" s="3">
        <v>14</v>
      </c>
      <c r="B619" s="13">
        <v>46258.551921296297</v>
      </c>
      <c r="C619" s="3" t="s">
        <v>33</v>
      </c>
      <c r="D619" s="5">
        <v>0.873</v>
      </c>
      <c r="E619" s="3" t="s">
        <v>14</v>
      </c>
      <c r="F619" s="5">
        <v>135.93299999999999</v>
      </c>
      <c r="G619" s="3" t="s">
        <v>26</v>
      </c>
      <c r="H619" s="3">
        <f t="shared" si="18"/>
        <v>0</v>
      </c>
      <c r="I619" s="3">
        <v>1</v>
      </c>
      <c r="J619" s="3" t="s">
        <v>33</v>
      </c>
      <c r="K619" s="3">
        <f t="shared" si="19"/>
        <v>0</v>
      </c>
    </row>
    <row r="620" spans="1:11" x14ac:dyDescent="0.25">
      <c r="A620" s="3">
        <v>14</v>
      </c>
      <c r="B620" s="13">
        <v>46258.552094907398</v>
      </c>
      <c r="C620" s="3" t="s">
        <v>26</v>
      </c>
      <c r="D620" s="5">
        <v>0.91500000000000004</v>
      </c>
      <c r="E620" s="3" t="s">
        <v>14</v>
      </c>
      <c r="F620" s="5">
        <v>121.73699999999999</v>
      </c>
      <c r="G620" s="3" t="s">
        <v>26</v>
      </c>
      <c r="H620" s="3">
        <f t="shared" si="18"/>
        <v>1</v>
      </c>
      <c r="K620" s="3" t="str">
        <f t="shared" si="19"/>
        <v/>
      </c>
    </row>
    <row r="621" spans="1:11" x14ac:dyDescent="0.25">
      <c r="A621" s="3">
        <v>14</v>
      </c>
      <c r="B621" s="13">
        <v>46258.552314814799</v>
      </c>
      <c r="C621" s="3" t="s">
        <v>33</v>
      </c>
      <c r="D621" s="5">
        <v>0.871</v>
      </c>
      <c r="E621" s="3" t="s">
        <v>14</v>
      </c>
      <c r="F621" s="5">
        <v>126.21</v>
      </c>
      <c r="G621" s="3" t="s">
        <v>33</v>
      </c>
      <c r="H621" s="3">
        <f t="shared" si="18"/>
        <v>1</v>
      </c>
      <c r="K621" s="3" t="str">
        <f t="shared" si="19"/>
        <v/>
      </c>
    </row>
    <row r="622" spans="1:11" x14ac:dyDescent="0.25">
      <c r="A622" s="3">
        <v>14</v>
      </c>
      <c r="B622" s="13">
        <v>46258.552511574097</v>
      </c>
      <c r="C622" s="3" t="s">
        <v>15</v>
      </c>
      <c r="D622" s="5">
        <v>0.91100000000000003</v>
      </c>
      <c r="E622" s="3" t="s">
        <v>14</v>
      </c>
      <c r="F622" s="5">
        <v>117.011</v>
      </c>
      <c r="G622" s="3" t="s">
        <v>15</v>
      </c>
      <c r="H622" s="3">
        <f t="shared" si="18"/>
        <v>1</v>
      </c>
      <c r="K622" s="3" t="str">
        <f t="shared" si="19"/>
        <v/>
      </c>
    </row>
    <row r="623" spans="1:11" x14ac:dyDescent="0.25">
      <c r="A623" s="3">
        <v>14</v>
      </c>
      <c r="B623" s="13">
        <v>46258.552685185197</v>
      </c>
      <c r="C623" s="3" t="s">
        <v>39</v>
      </c>
      <c r="D623" s="5">
        <v>0.98</v>
      </c>
      <c r="E623" s="3" t="s">
        <v>14</v>
      </c>
      <c r="F623" s="5">
        <v>85</v>
      </c>
      <c r="G623" s="3" t="s">
        <v>39</v>
      </c>
      <c r="H623" s="3">
        <f t="shared" si="18"/>
        <v>1</v>
      </c>
      <c r="K623" s="3" t="str">
        <f t="shared" si="19"/>
        <v/>
      </c>
    </row>
    <row r="624" spans="1:11" x14ac:dyDescent="0.25">
      <c r="A624" s="3">
        <v>14</v>
      </c>
      <c r="B624" s="13">
        <v>46258.552928240701</v>
      </c>
      <c r="C624" s="3" t="s">
        <v>39</v>
      </c>
      <c r="D624" s="5">
        <v>0.82899999999999996</v>
      </c>
      <c r="E624" s="3" t="s">
        <v>14</v>
      </c>
      <c r="F624" s="5">
        <v>131.345</v>
      </c>
      <c r="G624" s="3" t="s">
        <v>11</v>
      </c>
      <c r="H624" s="3">
        <f t="shared" si="18"/>
        <v>0</v>
      </c>
      <c r="K624" s="3" t="str">
        <f t="shared" si="19"/>
        <v/>
      </c>
    </row>
    <row r="625" spans="1:11" x14ac:dyDescent="0.25">
      <c r="A625" s="3">
        <v>14</v>
      </c>
      <c r="B625" s="13">
        <v>46258.553148148101</v>
      </c>
      <c r="C625" s="3" t="s">
        <v>33</v>
      </c>
      <c r="D625" s="5">
        <v>0.97799999999999998</v>
      </c>
      <c r="E625" s="3" t="s">
        <v>14</v>
      </c>
      <c r="F625" s="5">
        <v>119.745</v>
      </c>
      <c r="G625" s="3" t="s">
        <v>33</v>
      </c>
      <c r="H625" s="3">
        <f t="shared" si="18"/>
        <v>1</v>
      </c>
      <c r="K625" s="3" t="str">
        <f t="shared" si="19"/>
        <v/>
      </c>
    </row>
    <row r="626" spans="1:11" x14ac:dyDescent="0.25">
      <c r="A626" s="3">
        <v>14</v>
      </c>
      <c r="B626" s="13">
        <v>46258.553344907399</v>
      </c>
      <c r="C626" s="3" t="s">
        <v>19</v>
      </c>
      <c r="D626" s="5">
        <v>0.89900000000000002</v>
      </c>
      <c r="E626" s="3" t="s">
        <v>14</v>
      </c>
      <c r="F626" s="5">
        <v>85.741</v>
      </c>
      <c r="G626" s="3" t="s">
        <v>19</v>
      </c>
      <c r="H626" s="3">
        <f t="shared" si="18"/>
        <v>1</v>
      </c>
      <c r="I626" s="3">
        <v>1</v>
      </c>
      <c r="J626" s="3" t="s">
        <v>19</v>
      </c>
      <c r="K626" s="3">
        <f t="shared" si="19"/>
        <v>1</v>
      </c>
    </row>
    <row r="627" spans="1:11" x14ac:dyDescent="0.25">
      <c r="A627" s="3">
        <v>14</v>
      </c>
      <c r="B627" s="13">
        <v>46258.5534722222</v>
      </c>
      <c r="C627" s="3" t="s">
        <v>13</v>
      </c>
      <c r="D627" s="5">
        <v>0.98899999999999999</v>
      </c>
      <c r="E627" s="3" t="s">
        <v>14</v>
      </c>
      <c r="F627" s="5">
        <v>85</v>
      </c>
      <c r="G627" s="3" t="s">
        <v>13</v>
      </c>
      <c r="H627" s="3">
        <f t="shared" si="18"/>
        <v>1</v>
      </c>
      <c r="K627" s="3" t="str">
        <f t="shared" si="19"/>
        <v/>
      </c>
    </row>
    <row r="628" spans="1:11" x14ac:dyDescent="0.25">
      <c r="A628" s="3">
        <v>14</v>
      </c>
      <c r="B628" s="13">
        <v>46258.553622685198</v>
      </c>
      <c r="C628" s="3" t="s">
        <v>38</v>
      </c>
      <c r="D628" s="5">
        <v>0.91400000000000003</v>
      </c>
      <c r="E628" s="3" t="s">
        <v>14</v>
      </c>
      <c r="F628" s="5">
        <v>120.402</v>
      </c>
      <c r="G628" s="3" t="s">
        <v>38</v>
      </c>
      <c r="H628" s="3">
        <f t="shared" si="18"/>
        <v>1</v>
      </c>
      <c r="I628" s="3">
        <v>1</v>
      </c>
      <c r="J628" s="3" t="s">
        <v>38</v>
      </c>
      <c r="K628" s="3">
        <f t="shared" si="19"/>
        <v>1</v>
      </c>
    </row>
    <row r="629" spans="1:11" x14ac:dyDescent="0.25">
      <c r="A629" s="3">
        <v>14</v>
      </c>
      <c r="B629" s="13">
        <v>46258.553726851896</v>
      </c>
      <c r="C629" s="3" t="s">
        <v>39</v>
      </c>
      <c r="D629" s="5">
        <v>0.95899999999999996</v>
      </c>
      <c r="E629" s="3" t="s">
        <v>14</v>
      </c>
      <c r="F629" s="5">
        <v>120.38800000000001</v>
      </c>
      <c r="G629" s="3" t="s">
        <v>39</v>
      </c>
      <c r="H629" s="3">
        <f t="shared" si="18"/>
        <v>1</v>
      </c>
      <c r="K629" s="3" t="str">
        <f t="shared" si="19"/>
        <v/>
      </c>
    </row>
    <row r="630" spans="1:11" x14ac:dyDescent="0.25">
      <c r="A630" s="3">
        <v>14</v>
      </c>
      <c r="B630" s="13">
        <v>46258.553819444503</v>
      </c>
      <c r="C630" s="3" t="s">
        <v>36</v>
      </c>
      <c r="D630" s="5">
        <v>0.96199999999999997</v>
      </c>
      <c r="E630" s="3" t="s">
        <v>14</v>
      </c>
      <c r="F630" s="5">
        <v>132.88399999999999</v>
      </c>
      <c r="G630" s="3" t="s">
        <v>36</v>
      </c>
      <c r="H630" s="3">
        <f t="shared" si="18"/>
        <v>1</v>
      </c>
      <c r="K630" s="3" t="str">
        <f t="shared" si="19"/>
        <v/>
      </c>
    </row>
    <row r="631" spans="1:11" x14ac:dyDescent="0.25">
      <c r="A631" s="3">
        <v>14</v>
      </c>
      <c r="B631" s="13">
        <v>46258.5540162037</v>
      </c>
      <c r="C631" s="3" t="s">
        <v>36</v>
      </c>
      <c r="D631" s="5">
        <v>0.89400000000000002</v>
      </c>
      <c r="E631" s="3" t="s">
        <v>14</v>
      </c>
      <c r="F631" s="5">
        <v>141.578</v>
      </c>
      <c r="G631" s="3" t="s">
        <v>36</v>
      </c>
      <c r="H631" s="3">
        <f t="shared" si="18"/>
        <v>1</v>
      </c>
      <c r="I631" s="3">
        <v>1</v>
      </c>
      <c r="J631" s="3" t="s">
        <v>36</v>
      </c>
      <c r="K631" s="3">
        <f t="shared" si="19"/>
        <v>1</v>
      </c>
    </row>
    <row r="632" spans="1:11" x14ac:dyDescent="0.25">
      <c r="A632" s="3">
        <v>14</v>
      </c>
      <c r="B632" s="13">
        <v>46258.5541435185</v>
      </c>
      <c r="C632" s="3" t="s">
        <v>39</v>
      </c>
      <c r="D632" s="5">
        <v>0.96899999999999997</v>
      </c>
      <c r="E632" s="3" t="s">
        <v>14</v>
      </c>
      <c r="F632" s="5">
        <v>95.903999999999996</v>
      </c>
      <c r="G632" s="3" t="s">
        <v>39</v>
      </c>
      <c r="H632" s="3">
        <f t="shared" si="18"/>
        <v>1</v>
      </c>
      <c r="I632" s="3">
        <v>1</v>
      </c>
      <c r="J632" s="3" t="s">
        <v>39</v>
      </c>
      <c r="K632" s="3">
        <f t="shared" si="19"/>
        <v>1</v>
      </c>
    </row>
    <row r="633" spans="1:11" x14ac:dyDescent="0.25">
      <c r="A633" s="3">
        <v>14</v>
      </c>
      <c r="B633" s="13">
        <v>46258.554293981499</v>
      </c>
      <c r="C633" s="3" t="s">
        <v>34</v>
      </c>
      <c r="D633" s="5">
        <v>0.97699999999999998</v>
      </c>
      <c r="E633" s="3" t="s">
        <v>14</v>
      </c>
      <c r="F633" s="5">
        <v>113.11</v>
      </c>
      <c r="G633" s="3" t="s">
        <v>34</v>
      </c>
      <c r="H633" s="3">
        <f t="shared" si="18"/>
        <v>1</v>
      </c>
      <c r="I633" s="3">
        <v>1</v>
      </c>
      <c r="J633" s="3" t="s">
        <v>34</v>
      </c>
      <c r="K633" s="3">
        <f t="shared" si="19"/>
        <v>1</v>
      </c>
    </row>
    <row r="634" spans="1:11" x14ac:dyDescent="0.25">
      <c r="A634" s="3">
        <v>14</v>
      </c>
      <c r="B634" s="13">
        <v>46258.554398148197</v>
      </c>
      <c r="C634" s="3" t="s">
        <v>19</v>
      </c>
      <c r="D634" s="5">
        <v>0.83599999999999997</v>
      </c>
      <c r="E634" s="3" t="s">
        <v>14</v>
      </c>
      <c r="F634" s="5">
        <v>118.247</v>
      </c>
      <c r="G634" s="3" t="s">
        <v>19</v>
      </c>
      <c r="H634" s="3">
        <f t="shared" si="18"/>
        <v>1</v>
      </c>
      <c r="K634" s="3" t="str">
        <f t="shared" si="19"/>
        <v/>
      </c>
    </row>
    <row r="635" spans="1:11" x14ac:dyDescent="0.25">
      <c r="A635" s="3">
        <v>15</v>
      </c>
      <c r="B635" s="13">
        <v>46258.561145833301</v>
      </c>
      <c r="C635" s="3" t="s">
        <v>23</v>
      </c>
      <c r="D635" s="5">
        <v>0.92800000000000005</v>
      </c>
      <c r="E635" s="3" t="s">
        <v>14</v>
      </c>
      <c r="F635" s="5">
        <v>105.82599999999999</v>
      </c>
      <c r="G635" s="3" t="s">
        <v>23</v>
      </c>
      <c r="H635" s="3">
        <f t="shared" si="18"/>
        <v>1</v>
      </c>
      <c r="K635" s="3" t="str">
        <f t="shared" si="19"/>
        <v/>
      </c>
    </row>
    <row r="636" spans="1:11" x14ac:dyDescent="0.25">
      <c r="A636" s="3">
        <v>15</v>
      </c>
      <c r="B636" s="13">
        <v>46258.561273148203</v>
      </c>
      <c r="C636" s="3" t="s">
        <v>18</v>
      </c>
      <c r="D636" s="5">
        <v>0.85099999999999998</v>
      </c>
      <c r="E636" s="3" t="s">
        <v>14</v>
      </c>
      <c r="F636" s="5">
        <v>110.91</v>
      </c>
      <c r="G636" s="3" t="s">
        <v>18</v>
      </c>
      <c r="H636" s="3">
        <f t="shared" si="18"/>
        <v>1</v>
      </c>
      <c r="K636" s="3" t="str">
        <f t="shared" si="19"/>
        <v/>
      </c>
    </row>
    <row r="637" spans="1:11" x14ac:dyDescent="0.25">
      <c r="A637" s="3">
        <v>15</v>
      </c>
      <c r="B637" s="13">
        <v>46258.5614236111</v>
      </c>
      <c r="C637" s="3" t="s">
        <v>32</v>
      </c>
      <c r="D637" s="5">
        <v>0.82099999999999995</v>
      </c>
      <c r="E637" s="3" t="s">
        <v>14</v>
      </c>
      <c r="F637" s="5">
        <v>128.29</v>
      </c>
      <c r="G637" s="3" t="s">
        <v>32</v>
      </c>
      <c r="H637" s="3">
        <f t="shared" si="18"/>
        <v>1</v>
      </c>
      <c r="K637" s="3" t="str">
        <f t="shared" si="19"/>
        <v/>
      </c>
    </row>
    <row r="638" spans="1:11" x14ac:dyDescent="0.25">
      <c r="A638" s="3">
        <v>15</v>
      </c>
      <c r="B638" s="13">
        <v>46258.561585648204</v>
      </c>
      <c r="C638" s="3" t="s">
        <v>39</v>
      </c>
      <c r="D638" s="5">
        <v>0.83799999999999997</v>
      </c>
      <c r="E638" s="3" t="s">
        <v>14</v>
      </c>
      <c r="F638" s="5">
        <v>140.392</v>
      </c>
      <c r="G638" s="3" t="s">
        <v>39</v>
      </c>
      <c r="H638" s="3">
        <f t="shared" si="18"/>
        <v>1</v>
      </c>
      <c r="K638" s="3" t="str">
        <f t="shared" si="19"/>
        <v/>
      </c>
    </row>
    <row r="639" spans="1:11" x14ac:dyDescent="0.25">
      <c r="A639" s="3">
        <v>15</v>
      </c>
      <c r="B639" s="13">
        <v>46258.561747685198</v>
      </c>
      <c r="C639" s="3" t="s">
        <v>27</v>
      </c>
      <c r="D639" s="5">
        <v>0.92200000000000004</v>
      </c>
      <c r="E639" s="3" t="s">
        <v>12</v>
      </c>
      <c r="F639" s="5">
        <v>138.642</v>
      </c>
      <c r="G639" s="3" t="s">
        <v>27</v>
      </c>
      <c r="H639" s="3">
        <f t="shared" si="18"/>
        <v>1</v>
      </c>
      <c r="I639" s="3">
        <v>1</v>
      </c>
      <c r="J639" s="3" t="s">
        <v>27</v>
      </c>
      <c r="K639" s="3">
        <f t="shared" si="19"/>
        <v>1</v>
      </c>
    </row>
    <row r="640" spans="1:11" x14ac:dyDescent="0.25">
      <c r="A640" s="3">
        <v>15</v>
      </c>
      <c r="B640" s="13">
        <v>46258.562013888899</v>
      </c>
      <c r="C640" s="3" t="s">
        <v>25</v>
      </c>
      <c r="D640" s="5">
        <v>0.80400000000000005</v>
      </c>
      <c r="E640" s="3" t="s">
        <v>14</v>
      </c>
      <c r="F640" s="5">
        <v>139.845</v>
      </c>
      <c r="G640" s="3" t="s">
        <v>25</v>
      </c>
      <c r="H640" s="3">
        <f t="shared" si="18"/>
        <v>1</v>
      </c>
      <c r="K640" s="3" t="str">
        <f t="shared" si="19"/>
        <v/>
      </c>
    </row>
    <row r="641" spans="1:11" x14ac:dyDescent="0.25">
      <c r="A641" s="3">
        <v>15</v>
      </c>
      <c r="B641" s="13">
        <v>46258.562222222201</v>
      </c>
      <c r="C641" s="3" t="s">
        <v>29</v>
      </c>
      <c r="D641" s="5">
        <v>0.94099999999999995</v>
      </c>
      <c r="E641" s="3" t="s">
        <v>14</v>
      </c>
      <c r="F641" s="5">
        <v>118.27200000000001</v>
      </c>
      <c r="G641" s="3" t="s">
        <v>29</v>
      </c>
      <c r="H641" s="3">
        <f t="shared" si="18"/>
        <v>1</v>
      </c>
      <c r="K641" s="3" t="str">
        <f t="shared" si="19"/>
        <v/>
      </c>
    </row>
    <row r="642" spans="1:11" x14ac:dyDescent="0.25">
      <c r="A642" s="3">
        <v>15</v>
      </c>
      <c r="B642" s="13">
        <v>46258.5624074074</v>
      </c>
      <c r="C642" s="3" t="s">
        <v>21</v>
      </c>
      <c r="D642" s="5">
        <v>0.871</v>
      </c>
      <c r="E642" s="3" t="s">
        <v>14</v>
      </c>
      <c r="F642" s="5">
        <v>115.771</v>
      </c>
      <c r="G642" s="3" t="s">
        <v>21</v>
      </c>
      <c r="H642" s="3">
        <f t="shared" ref="H642:H687" si="20">IF(C642=G642,1,0)</f>
        <v>1</v>
      </c>
      <c r="I642" s="3">
        <v>1</v>
      </c>
      <c r="J642" s="3" t="s">
        <v>21</v>
      </c>
      <c r="K642" s="3">
        <f t="shared" ref="K642:K687" si="21">IF(J642="","",IF(J642=G642,1,0))</f>
        <v>1</v>
      </c>
    </row>
    <row r="643" spans="1:11" x14ac:dyDescent="0.25">
      <c r="A643" s="3">
        <v>15</v>
      </c>
      <c r="B643" s="13">
        <v>46258.562581018501</v>
      </c>
      <c r="C643" s="3" t="s">
        <v>30</v>
      </c>
      <c r="D643" s="5">
        <v>0.85699999999999998</v>
      </c>
      <c r="E643" s="3" t="s">
        <v>14</v>
      </c>
      <c r="F643" s="5">
        <v>122.114</v>
      </c>
      <c r="G643" s="3" t="s">
        <v>30</v>
      </c>
      <c r="H643" s="3">
        <f t="shared" si="20"/>
        <v>1</v>
      </c>
      <c r="K643" s="3" t="str">
        <f t="shared" si="21"/>
        <v/>
      </c>
    </row>
    <row r="644" spans="1:11" x14ac:dyDescent="0.25">
      <c r="A644" s="3">
        <v>15</v>
      </c>
      <c r="B644" s="13">
        <v>46258.5628587963</v>
      </c>
      <c r="C644" s="3" t="s">
        <v>19</v>
      </c>
      <c r="D644" s="5">
        <v>0.94399999999999995</v>
      </c>
      <c r="E644" s="3" t="s">
        <v>14</v>
      </c>
      <c r="F644" s="5">
        <v>113.79</v>
      </c>
      <c r="G644" s="3" t="s">
        <v>19</v>
      </c>
      <c r="H644" s="3">
        <f t="shared" si="20"/>
        <v>1</v>
      </c>
      <c r="K644" s="3" t="str">
        <f t="shared" si="21"/>
        <v/>
      </c>
    </row>
    <row r="645" spans="1:11" x14ac:dyDescent="0.25">
      <c r="A645" s="3">
        <v>15</v>
      </c>
      <c r="B645" s="13">
        <v>46258.562974537002</v>
      </c>
      <c r="C645" s="3" t="s">
        <v>20</v>
      </c>
      <c r="D645" s="5">
        <v>0.93100000000000005</v>
      </c>
      <c r="E645" s="3" t="s">
        <v>12</v>
      </c>
      <c r="F645" s="5">
        <v>143.78100000000001</v>
      </c>
      <c r="G645" s="3" t="s">
        <v>20</v>
      </c>
      <c r="H645" s="3">
        <f t="shared" si="20"/>
        <v>1</v>
      </c>
      <c r="K645" s="3" t="str">
        <f t="shared" si="21"/>
        <v/>
      </c>
    </row>
    <row r="646" spans="1:11" x14ac:dyDescent="0.25">
      <c r="A646" s="3">
        <v>15</v>
      </c>
      <c r="B646" s="13">
        <v>46258.5631712963</v>
      </c>
      <c r="C646" s="3" t="s">
        <v>37</v>
      </c>
      <c r="D646" s="5">
        <v>0.84299999999999997</v>
      </c>
      <c r="E646" s="3" t="s">
        <v>14</v>
      </c>
      <c r="F646" s="5">
        <v>132.63200000000001</v>
      </c>
      <c r="G646" s="3" t="s">
        <v>37</v>
      </c>
      <c r="H646" s="3">
        <f t="shared" si="20"/>
        <v>1</v>
      </c>
      <c r="K646" s="3" t="str">
        <f t="shared" si="21"/>
        <v/>
      </c>
    </row>
    <row r="647" spans="1:11" x14ac:dyDescent="0.25">
      <c r="A647" s="3">
        <v>15</v>
      </c>
      <c r="B647" s="13">
        <v>46258.563333333303</v>
      </c>
      <c r="C647" s="3" t="s">
        <v>28</v>
      </c>
      <c r="D647" s="5">
        <v>0.82899999999999996</v>
      </c>
      <c r="E647" s="3" t="s">
        <v>14</v>
      </c>
      <c r="F647" s="5">
        <v>96.984999999999999</v>
      </c>
      <c r="G647" s="3" t="s">
        <v>28</v>
      </c>
      <c r="H647" s="3">
        <f t="shared" si="20"/>
        <v>1</v>
      </c>
      <c r="I647" s="3">
        <v>1</v>
      </c>
      <c r="J647" s="3" t="s">
        <v>28</v>
      </c>
      <c r="K647" s="3">
        <f t="shared" si="21"/>
        <v>1</v>
      </c>
    </row>
    <row r="648" spans="1:11" x14ac:dyDescent="0.25">
      <c r="A648" s="3">
        <v>15</v>
      </c>
      <c r="B648" s="13">
        <v>46258.563460648198</v>
      </c>
      <c r="C648" s="3" t="s">
        <v>33</v>
      </c>
      <c r="D648" s="5">
        <v>0.83799999999999997</v>
      </c>
      <c r="E648" s="3" t="s">
        <v>14</v>
      </c>
      <c r="F648" s="5">
        <v>140.815</v>
      </c>
      <c r="G648" s="3" t="s">
        <v>33</v>
      </c>
      <c r="H648" s="3">
        <f t="shared" si="20"/>
        <v>1</v>
      </c>
      <c r="K648" s="3" t="str">
        <f t="shared" si="21"/>
        <v/>
      </c>
    </row>
    <row r="649" spans="1:11" x14ac:dyDescent="0.25">
      <c r="A649" s="3">
        <v>15</v>
      </c>
      <c r="B649" s="13">
        <v>46258.563553240703</v>
      </c>
      <c r="C649" s="3" t="s">
        <v>15</v>
      </c>
      <c r="D649" s="5">
        <v>0.83699999999999997</v>
      </c>
      <c r="E649" s="3" t="s">
        <v>14</v>
      </c>
      <c r="F649" s="5">
        <v>158.042</v>
      </c>
      <c r="G649" s="3" t="s">
        <v>15</v>
      </c>
      <c r="H649" s="3">
        <f t="shared" si="20"/>
        <v>1</v>
      </c>
      <c r="I649" s="3">
        <v>1</v>
      </c>
      <c r="J649" s="3" t="s">
        <v>15</v>
      </c>
      <c r="K649" s="3">
        <f t="shared" si="21"/>
        <v>1</v>
      </c>
    </row>
    <row r="650" spans="1:11" x14ac:dyDescent="0.25">
      <c r="A650" s="3">
        <v>15</v>
      </c>
      <c r="B650" s="13">
        <v>46258.5637152778</v>
      </c>
      <c r="C650" s="3" t="s">
        <v>38</v>
      </c>
      <c r="D650" s="5">
        <v>0.99</v>
      </c>
      <c r="E650" s="3" t="s">
        <v>14</v>
      </c>
      <c r="F650" s="5">
        <v>93.557000000000002</v>
      </c>
      <c r="G650" s="3" t="s">
        <v>38</v>
      </c>
      <c r="H650" s="3">
        <f t="shared" si="20"/>
        <v>1</v>
      </c>
      <c r="K650" s="3" t="str">
        <f t="shared" si="21"/>
        <v/>
      </c>
    </row>
    <row r="651" spans="1:11" x14ac:dyDescent="0.25">
      <c r="A651" s="3">
        <v>15</v>
      </c>
      <c r="B651" s="13">
        <v>46258.563842592601</v>
      </c>
      <c r="C651" s="3" t="s">
        <v>22</v>
      </c>
      <c r="D651" s="5">
        <v>0.89200000000000002</v>
      </c>
      <c r="E651" s="3" t="s">
        <v>14</v>
      </c>
      <c r="F651" s="5">
        <v>110.649</v>
      </c>
      <c r="G651" s="3" t="s">
        <v>22</v>
      </c>
      <c r="H651" s="3">
        <f t="shared" si="20"/>
        <v>1</v>
      </c>
      <c r="K651" s="3" t="str">
        <f t="shared" si="21"/>
        <v/>
      </c>
    </row>
    <row r="652" spans="1:11" x14ac:dyDescent="0.25">
      <c r="A652" s="3">
        <v>15</v>
      </c>
      <c r="B652" s="13">
        <v>46258.564062500001</v>
      </c>
      <c r="C652" s="3" t="s">
        <v>34</v>
      </c>
      <c r="D652" s="5">
        <v>0.83099999999999996</v>
      </c>
      <c r="E652" s="3" t="s">
        <v>14</v>
      </c>
      <c r="F652" s="5">
        <v>119.744</v>
      </c>
      <c r="G652" s="3" t="s">
        <v>34</v>
      </c>
      <c r="H652" s="3">
        <f t="shared" si="20"/>
        <v>1</v>
      </c>
      <c r="K652" s="3" t="str">
        <f t="shared" si="21"/>
        <v/>
      </c>
    </row>
    <row r="653" spans="1:11" x14ac:dyDescent="0.25">
      <c r="A653" s="3">
        <v>15</v>
      </c>
      <c r="B653" s="13">
        <v>46258.564293981501</v>
      </c>
      <c r="C653" s="3" t="s">
        <v>36</v>
      </c>
      <c r="D653" s="5">
        <v>0.91700000000000004</v>
      </c>
      <c r="E653" s="3" t="s">
        <v>14</v>
      </c>
      <c r="F653" s="5">
        <v>105.908</v>
      </c>
      <c r="G653" s="3" t="s">
        <v>36</v>
      </c>
      <c r="H653" s="3">
        <f t="shared" si="20"/>
        <v>1</v>
      </c>
      <c r="K653" s="3" t="str">
        <f t="shared" si="21"/>
        <v/>
      </c>
    </row>
    <row r="654" spans="1:11" x14ac:dyDescent="0.25">
      <c r="A654" s="3">
        <v>15</v>
      </c>
      <c r="B654" s="13">
        <v>46258.564560185201</v>
      </c>
      <c r="C654" s="3" t="s">
        <v>18</v>
      </c>
      <c r="D654" s="5">
        <v>0.67900000000000005</v>
      </c>
      <c r="E654" s="3" t="s">
        <v>14</v>
      </c>
      <c r="F654" s="5">
        <v>125.661</v>
      </c>
      <c r="G654" s="3" t="s">
        <v>31</v>
      </c>
      <c r="H654" s="3">
        <f t="shared" si="20"/>
        <v>0</v>
      </c>
      <c r="K654" s="3" t="str">
        <f t="shared" si="21"/>
        <v/>
      </c>
    </row>
    <row r="655" spans="1:11" x14ac:dyDescent="0.25">
      <c r="A655" s="3">
        <v>15</v>
      </c>
      <c r="B655" s="13">
        <v>46258.5647453704</v>
      </c>
      <c r="C655" s="3" t="s">
        <v>27</v>
      </c>
      <c r="D655" s="5">
        <v>0.97899999999999998</v>
      </c>
      <c r="E655" s="3" t="s">
        <v>12</v>
      </c>
      <c r="F655" s="5">
        <v>149.90700000000001</v>
      </c>
      <c r="G655" s="3" t="s">
        <v>27</v>
      </c>
      <c r="H655" s="3">
        <f t="shared" si="20"/>
        <v>1</v>
      </c>
      <c r="K655" s="3" t="str">
        <f t="shared" si="21"/>
        <v/>
      </c>
    </row>
    <row r="656" spans="1:11" x14ac:dyDescent="0.25">
      <c r="A656" s="3">
        <v>15</v>
      </c>
      <c r="B656" s="13">
        <v>46258.564861111103</v>
      </c>
      <c r="C656" s="3" t="s">
        <v>31</v>
      </c>
      <c r="D656" s="5">
        <v>0.81</v>
      </c>
      <c r="E656" s="3" t="s">
        <v>14</v>
      </c>
      <c r="F656" s="5">
        <v>131.86199999999999</v>
      </c>
      <c r="G656" s="3" t="s">
        <v>31</v>
      </c>
      <c r="H656" s="3">
        <f t="shared" si="20"/>
        <v>1</v>
      </c>
      <c r="I656" s="3">
        <v>1</v>
      </c>
      <c r="J656" s="3" t="s">
        <v>31</v>
      </c>
      <c r="K656" s="3">
        <f t="shared" si="21"/>
        <v>1</v>
      </c>
    </row>
    <row r="657" spans="1:11" x14ac:dyDescent="0.25">
      <c r="A657" s="3">
        <v>15</v>
      </c>
      <c r="B657" s="13">
        <v>46258.565057870401</v>
      </c>
      <c r="C657" s="3" t="s">
        <v>31</v>
      </c>
      <c r="D657" s="5">
        <v>0.89700000000000002</v>
      </c>
      <c r="E657" s="3" t="s">
        <v>14</v>
      </c>
      <c r="F657" s="5">
        <v>116.61</v>
      </c>
      <c r="G657" s="3" t="s">
        <v>31</v>
      </c>
      <c r="H657" s="3">
        <f t="shared" si="20"/>
        <v>1</v>
      </c>
      <c r="I657" s="3">
        <v>1</v>
      </c>
      <c r="J657" s="3" t="s">
        <v>31</v>
      </c>
      <c r="K657" s="3">
        <f t="shared" si="21"/>
        <v>1</v>
      </c>
    </row>
    <row r="658" spans="1:11" x14ac:dyDescent="0.25">
      <c r="A658" s="3">
        <v>15</v>
      </c>
      <c r="B658" s="13">
        <v>46258.565277777801</v>
      </c>
      <c r="C658" s="3" t="s">
        <v>26</v>
      </c>
      <c r="D658" s="5">
        <v>0.85099999999999998</v>
      </c>
      <c r="E658" s="3" t="s">
        <v>14</v>
      </c>
      <c r="F658" s="5">
        <v>103.393</v>
      </c>
      <c r="G658" s="3" t="s">
        <v>31</v>
      </c>
      <c r="H658" s="3">
        <f t="shared" si="20"/>
        <v>0</v>
      </c>
      <c r="K658" s="3" t="str">
        <f t="shared" si="21"/>
        <v/>
      </c>
    </row>
    <row r="659" spans="1:11" x14ac:dyDescent="0.25">
      <c r="A659" s="3">
        <v>15</v>
      </c>
      <c r="B659" s="13">
        <v>46258.565428240698</v>
      </c>
      <c r="C659" s="3" t="s">
        <v>31</v>
      </c>
      <c r="D659" s="5">
        <v>0.77300000000000002</v>
      </c>
      <c r="E659" s="3" t="s">
        <v>14</v>
      </c>
      <c r="F659" s="5">
        <v>124.274</v>
      </c>
      <c r="G659" s="3" t="s">
        <v>31</v>
      </c>
      <c r="H659" s="3">
        <f t="shared" si="20"/>
        <v>1</v>
      </c>
      <c r="I659" s="3">
        <v>1</v>
      </c>
      <c r="J659" s="3" t="s">
        <v>26</v>
      </c>
      <c r="K659" s="3">
        <f t="shared" si="21"/>
        <v>0</v>
      </c>
    </row>
    <row r="660" spans="1:11" x14ac:dyDescent="0.25">
      <c r="A660" s="3">
        <v>15</v>
      </c>
      <c r="B660" s="13">
        <v>46258.565613425897</v>
      </c>
      <c r="C660" s="3" t="s">
        <v>20</v>
      </c>
      <c r="D660" s="5">
        <v>0.94899999999999995</v>
      </c>
      <c r="E660" s="3" t="s">
        <v>12</v>
      </c>
      <c r="F660" s="5">
        <v>175.09899999999999</v>
      </c>
      <c r="G660" s="3" t="s">
        <v>20</v>
      </c>
      <c r="H660" s="3">
        <f t="shared" si="20"/>
        <v>1</v>
      </c>
      <c r="K660" s="3" t="str">
        <f t="shared" si="21"/>
        <v/>
      </c>
    </row>
    <row r="661" spans="1:11" x14ac:dyDescent="0.25">
      <c r="A661" s="3">
        <v>15</v>
      </c>
      <c r="B661" s="13">
        <v>46258.565810185202</v>
      </c>
      <c r="C661" s="3" t="s">
        <v>32</v>
      </c>
      <c r="D661" s="5">
        <v>0.83499999999999996</v>
      </c>
      <c r="E661" s="3" t="s">
        <v>14</v>
      </c>
      <c r="F661" s="5">
        <v>109.319</v>
      </c>
      <c r="G661" s="3" t="s">
        <v>32</v>
      </c>
      <c r="H661" s="3">
        <f t="shared" si="20"/>
        <v>1</v>
      </c>
      <c r="K661" s="3" t="str">
        <f t="shared" si="21"/>
        <v/>
      </c>
    </row>
    <row r="662" spans="1:11" x14ac:dyDescent="0.25">
      <c r="A662" s="3">
        <v>15</v>
      </c>
      <c r="B662" s="13">
        <v>46258.566006944398</v>
      </c>
      <c r="C662" s="3" t="s">
        <v>27</v>
      </c>
      <c r="D662" s="5">
        <v>0.872</v>
      </c>
      <c r="E662" s="3" t="s">
        <v>12</v>
      </c>
      <c r="F662" s="5">
        <v>137.80600000000001</v>
      </c>
      <c r="G662" s="3" t="s">
        <v>27</v>
      </c>
      <c r="H662" s="3">
        <f t="shared" si="20"/>
        <v>1</v>
      </c>
      <c r="K662" s="3" t="str">
        <f t="shared" si="21"/>
        <v/>
      </c>
    </row>
    <row r="663" spans="1:11" x14ac:dyDescent="0.25">
      <c r="A663" s="3">
        <v>15</v>
      </c>
      <c r="B663" s="13">
        <v>46258.566180555601</v>
      </c>
      <c r="C663" s="3" t="s">
        <v>39</v>
      </c>
      <c r="D663" s="5">
        <v>0.98099999999999998</v>
      </c>
      <c r="E663" s="3" t="s">
        <v>14</v>
      </c>
      <c r="F663" s="5">
        <v>148.077</v>
      </c>
      <c r="G663" s="3" t="s">
        <v>39</v>
      </c>
      <c r="H663" s="3">
        <f t="shared" si="20"/>
        <v>1</v>
      </c>
      <c r="K663" s="3" t="str">
        <f t="shared" si="21"/>
        <v/>
      </c>
    </row>
    <row r="664" spans="1:11" x14ac:dyDescent="0.25">
      <c r="A664" s="3">
        <v>15</v>
      </c>
      <c r="B664" s="13">
        <v>46258.566412036998</v>
      </c>
      <c r="C664" s="3" t="s">
        <v>29</v>
      </c>
      <c r="D664" s="5">
        <v>0.68799999999999994</v>
      </c>
      <c r="E664" s="3" t="s">
        <v>14</v>
      </c>
      <c r="F664" s="5">
        <v>143.36600000000001</v>
      </c>
      <c r="G664" s="3" t="s">
        <v>36</v>
      </c>
      <c r="H664" s="3">
        <f t="shared" si="20"/>
        <v>0</v>
      </c>
      <c r="K664" s="3" t="str">
        <f t="shared" si="21"/>
        <v/>
      </c>
    </row>
    <row r="665" spans="1:11" x14ac:dyDescent="0.25">
      <c r="A665" s="3">
        <v>15</v>
      </c>
      <c r="B665" s="13">
        <v>46258.566620370402</v>
      </c>
      <c r="C665" s="3" t="s">
        <v>22</v>
      </c>
      <c r="D665" s="5">
        <v>0.86499999999999999</v>
      </c>
      <c r="E665" s="3" t="s">
        <v>14</v>
      </c>
      <c r="F665" s="5">
        <v>111.286</v>
      </c>
      <c r="G665" s="3" t="s">
        <v>22</v>
      </c>
      <c r="H665" s="3">
        <f t="shared" si="20"/>
        <v>1</v>
      </c>
      <c r="K665" s="3" t="str">
        <f t="shared" si="21"/>
        <v/>
      </c>
    </row>
    <row r="666" spans="1:11" x14ac:dyDescent="0.25">
      <c r="A666" s="3">
        <v>15</v>
      </c>
      <c r="B666" s="13">
        <v>46258.566736111097</v>
      </c>
      <c r="C666" s="3" t="s">
        <v>27</v>
      </c>
      <c r="D666" s="5">
        <v>0.88600000000000001</v>
      </c>
      <c r="E666" s="3" t="s">
        <v>12</v>
      </c>
      <c r="F666" s="5">
        <v>140.697</v>
      </c>
      <c r="G666" s="3" t="s">
        <v>27</v>
      </c>
      <c r="H666" s="3">
        <f t="shared" si="20"/>
        <v>1</v>
      </c>
      <c r="K666" s="3" t="str">
        <f t="shared" si="21"/>
        <v/>
      </c>
    </row>
    <row r="667" spans="1:11" x14ac:dyDescent="0.25">
      <c r="A667" s="3">
        <v>15</v>
      </c>
      <c r="B667" s="13">
        <v>46258.566886574103</v>
      </c>
      <c r="C667" s="3" t="s">
        <v>36</v>
      </c>
      <c r="D667" s="5">
        <v>0.9</v>
      </c>
      <c r="E667" s="3" t="s">
        <v>14</v>
      </c>
      <c r="F667" s="5">
        <v>85.757000000000005</v>
      </c>
      <c r="G667" s="3" t="s">
        <v>36</v>
      </c>
      <c r="H667" s="3">
        <f t="shared" si="20"/>
        <v>1</v>
      </c>
      <c r="K667" s="3" t="str">
        <f t="shared" si="21"/>
        <v/>
      </c>
    </row>
    <row r="668" spans="1:11" x14ac:dyDescent="0.25">
      <c r="A668" s="3">
        <v>15</v>
      </c>
      <c r="B668" s="13">
        <v>46258.566967592596</v>
      </c>
      <c r="C668" s="3" t="s">
        <v>13</v>
      </c>
      <c r="D668" s="5">
        <v>0.83299999999999996</v>
      </c>
      <c r="E668" s="3" t="s">
        <v>14</v>
      </c>
      <c r="F668" s="5">
        <v>113.59099999999999</v>
      </c>
      <c r="G668" s="3" t="s">
        <v>32</v>
      </c>
      <c r="H668" s="3">
        <f t="shared" si="20"/>
        <v>0</v>
      </c>
      <c r="K668" s="3" t="str">
        <f t="shared" si="21"/>
        <v/>
      </c>
    </row>
    <row r="669" spans="1:11" x14ac:dyDescent="0.25">
      <c r="A669" s="3">
        <v>15</v>
      </c>
      <c r="B669" s="13">
        <v>46258.567048611098</v>
      </c>
      <c r="C669" s="3" t="s">
        <v>28</v>
      </c>
      <c r="D669" s="5">
        <v>0.89500000000000002</v>
      </c>
      <c r="E669" s="3" t="s">
        <v>14</v>
      </c>
      <c r="F669" s="5">
        <v>106.706</v>
      </c>
      <c r="G669" s="3" t="s">
        <v>28</v>
      </c>
      <c r="H669" s="3">
        <f t="shared" si="20"/>
        <v>1</v>
      </c>
      <c r="K669" s="3" t="str">
        <f t="shared" si="21"/>
        <v/>
      </c>
    </row>
    <row r="670" spans="1:11" x14ac:dyDescent="0.25">
      <c r="A670" s="3">
        <v>15</v>
      </c>
      <c r="B670" s="13">
        <v>46258.567245370403</v>
      </c>
      <c r="C670" s="3" t="s">
        <v>31</v>
      </c>
      <c r="D670" s="5">
        <v>0.86</v>
      </c>
      <c r="E670" s="3" t="s">
        <v>14</v>
      </c>
      <c r="F670" s="5">
        <v>132.482</v>
      </c>
      <c r="G670" s="3" t="s">
        <v>31</v>
      </c>
      <c r="H670" s="3">
        <f t="shared" si="20"/>
        <v>1</v>
      </c>
      <c r="K670" s="3" t="str">
        <f t="shared" si="21"/>
        <v/>
      </c>
    </row>
    <row r="671" spans="1:11" x14ac:dyDescent="0.25">
      <c r="A671" s="3">
        <v>15</v>
      </c>
      <c r="B671" s="13">
        <v>46258.567326388897</v>
      </c>
      <c r="C671" s="3" t="s">
        <v>26</v>
      </c>
      <c r="D671" s="5">
        <v>0.70599999999999996</v>
      </c>
      <c r="E671" s="3" t="s">
        <v>14</v>
      </c>
      <c r="F671" s="5">
        <v>117.879</v>
      </c>
      <c r="G671" s="3" t="s">
        <v>33</v>
      </c>
      <c r="H671" s="3">
        <f t="shared" si="20"/>
        <v>0</v>
      </c>
      <c r="I671" s="3">
        <v>1</v>
      </c>
      <c r="J671" s="3" t="s">
        <v>26</v>
      </c>
      <c r="K671" s="3">
        <f t="shared" si="21"/>
        <v>0</v>
      </c>
    </row>
    <row r="672" spans="1:11" x14ac:dyDescent="0.25">
      <c r="A672" s="3">
        <v>15</v>
      </c>
      <c r="B672" s="13">
        <v>46258.567453703698</v>
      </c>
      <c r="C672" s="3" t="s">
        <v>18</v>
      </c>
      <c r="D672" s="5">
        <v>0.88800000000000001</v>
      </c>
      <c r="E672" s="3" t="s">
        <v>14</v>
      </c>
      <c r="F672" s="5">
        <v>150.85</v>
      </c>
      <c r="G672" s="3" t="s">
        <v>18</v>
      </c>
      <c r="H672" s="3">
        <f t="shared" si="20"/>
        <v>1</v>
      </c>
      <c r="I672" s="3">
        <v>1</v>
      </c>
      <c r="J672" s="3" t="s">
        <v>18</v>
      </c>
      <c r="K672" s="3">
        <f t="shared" si="21"/>
        <v>1</v>
      </c>
    </row>
    <row r="673" spans="1:11" x14ac:dyDescent="0.25">
      <c r="A673" s="3">
        <v>15</v>
      </c>
      <c r="B673" s="13">
        <v>46258.567557870403</v>
      </c>
      <c r="C673" s="3" t="s">
        <v>36</v>
      </c>
      <c r="D673" s="5">
        <v>0.90300000000000002</v>
      </c>
      <c r="E673" s="3" t="s">
        <v>14</v>
      </c>
      <c r="F673" s="5">
        <v>112.51300000000001</v>
      </c>
      <c r="G673" s="3" t="s">
        <v>36</v>
      </c>
      <c r="H673" s="3">
        <f t="shared" si="20"/>
        <v>1</v>
      </c>
      <c r="K673" s="3" t="str">
        <f t="shared" si="21"/>
        <v/>
      </c>
    </row>
    <row r="674" spans="1:11" x14ac:dyDescent="0.25">
      <c r="A674" s="3">
        <v>15</v>
      </c>
      <c r="B674" s="13">
        <v>46258.567696759303</v>
      </c>
      <c r="C674" s="3" t="s">
        <v>38</v>
      </c>
      <c r="D674" s="5">
        <v>0.99</v>
      </c>
      <c r="E674" s="3" t="s">
        <v>14</v>
      </c>
      <c r="F674" s="5">
        <v>105.36499999999999</v>
      </c>
      <c r="G674" s="3" t="s">
        <v>38</v>
      </c>
      <c r="H674" s="3">
        <f t="shared" si="20"/>
        <v>1</v>
      </c>
      <c r="K674" s="3" t="str">
        <f t="shared" si="21"/>
        <v/>
      </c>
    </row>
    <row r="675" spans="1:11" x14ac:dyDescent="0.25">
      <c r="A675" s="3">
        <v>15</v>
      </c>
      <c r="B675" s="13">
        <v>46258.567789351902</v>
      </c>
      <c r="C675" s="3" t="s">
        <v>38</v>
      </c>
      <c r="D675" s="5">
        <v>0.88900000000000001</v>
      </c>
      <c r="E675" s="3" t="s">
        <v>14</v>
      </c>
      <c r="F675" s="5">
        <v>140.18100000000001</v>
      </c>
      <c r="G675" s="3" t="s">
        <v>38</v>
      </c>
      <c r="H675" s="3">
        <f t="shared" si="20"/>
        <v>1</v>
      </c>
      <c r="K675" s="3" t="str">
        <f t="shared" si="21"/>
        <v/>
      </c>
    </row>
    <row r="676" spans="1:11" x14ac:dyDescent="0.25">
      <c r="A676" s="3">
        <v>15</v>
      </c>
      <c r="B676" s="13">
        <v>46258.567893518499</v>
      </c>
      <c r="C676" s="3" t="s">
        <v>36</v>
      </c>
      <c r="D676" s="5">
        <v>0.83899999999999997</v>
      </c>
      <c r="E676" s="3" t="s">
        <v>14</v>
      </c>
      <c r="F676" s="5">
        <v>100.71299999999999</v>
      </c>
      <c r="G676" s="3" t="s">
        <v>36</v>
      </c>
      <c r="H676" s="3">
        <f t="shared" si="20"/>
        <v>1</v>
      </c>
      <c r="I676" s="3">
        <v>1</v>
      </c>
      <c r="J676" s="3" t="s">
        <v>36</v>
      </c>
      <c r="K676" s="3">
        <f t="shared" si="21"/>
        <v>1</v>
      </c>
    </row>
    <row r="677" spans="1:11" x14ac:dyDescent="0.25">
      <c r="A677" s="3">
        <v>15</v>
      </c>
      <c r="B677" s="13">
        <v>46258.567974537</v>
      </c>
      <c r="C677" s="3" t="s">
        <v>39</v>
      </c>
      <c r="D677" s="5">
        <v>0.83199999999999996</v>
      </c>
      <c r="E677" s="3" t="s">
        <v>14</v>
      </c>
      <c r="F677" s="5">
        <v>102.81399999999999</v>
      </c>
      <c r="G677" s="3" t="s">
        <v>39</v>
      </c>
      <c r="H677" s="3">
        <f t="shared" si="20"/>
        <v>1</v>
      </c>
      <c r="I677" s="3">
        <v>1</v>
      </c>
      <c r="J677" s="3" t="s">
        <v>39</v>
      </c>
      <c r="K677" s="3">
        <f t="shared" si="21"/>
        <v>1</v>
      </c>
    </row>
    <row r="678" spans="1:11" x14ac:dyDescent="0.25">
      <c r="A678" s="3">
        <v>15</v>
      </c>
      <c r="B678" s="13">
        <v>46258.568113425899</v>
      </c>
      <c r="C678" s="3" t="s">
        <v>32</v>
      </c>
      <c r="D678" s="5">
        <v>0.78</v>
      </c>
      <c r="E678" s="3" t="s">
        <v>14</v>
      </c>
      <c r="F678" s="5">
        <v>133.78200000000001</v>
      </c>
      <c r="G678" s="3" t="s">
        <v>15</v>
      </c>
      <c r="H678" s="3">
        <f t="shared" si="20"/>
        <v>0</v>
      </c>
      <c r="K678" s="3" t="str">
        <f t="shared" si="21"/>
        <v/>
      </c>
    </row>
    <row r="679" spans="1:11" x14ac:dyDescent="0.25">
      <c r="A679" s="3">
        <v>15</v>
      </c>
      <c r="B679" s="13">
        <v>46258.5682407407</v>
      </c>
      <c r="C679" s="3" t="s">
        <v>30</v>
      </c>
      <c r="D679" s="5">
        <v>0.86099999999999999</v>
      </c>
      <c r="E679" s="3" t="s">
        <v>14</v>
      </c>
      <c r="F679" s="5">
        <v>140.63</v>
      </c>
      <c r="G679" s="3" t="s">
        <v>30</v>
      </c>
      <c r="H679" s="3">
        <f t="shared" si="20"/>
        <v>1</v>
      </c>
      <c r="K679" s="3" t="str">
        <f t="shared" si="21"/>
        <v/>
      </c>
    </row>
    <row r="680" spans="1:11" x14ac:dyDescent="0.25">
      <c r="A680" s="3">
        <v>15</v>
      </c>
      <c r="B680" s="13">
        <v>46258.568391203698</v>
      </c>
      <c r="C680" s="3" t="s">
        <v>38</v>
      </c>
      <c r="D680" s="5">
        <v>0.78700000000000003</v>
      </c>
      <c r="E680" s="3" t="s">
        <v>14</v>
      </c>
      <c r="F680" s="5">
        <v>123.91800000000001</v>
      </c>
      <c r="G680" s="3" t="s">
        <v>38</v>
      </c>
      <c r="H680" s="3">
        <f t="shared" si="20"/>
        <v>1</v>
      </c>
      <c r="K680" s="3" t="str">
        <f t="shared" si="21"/>
        <v/>
      </c>
    </row>
    <row r="681" spans="1:11" x14ac:dyDescent="0.25">
      <c r="A681" s="3">
        <v>15</v>
      </c>
      <c r="B681" s="13">
        <v>46258.568622685198</v>
      </c>
      <c r="C681" s="3" t="s">
        <v>36</v>
      </c>
      <c r="D681" s="5">
        <v>0.95899999999999996</v>
      </c>
      <c r="E681" s="3" t="s">
        <v>14</v>
      </c>
      <c r="F681" s="5">
        <v>126.245</v>
      </c>
      <c r="G681" s="3" t="s">
        <v>36</v>
      </c>
      <c r="H681" s="3">
        <f t="shared" si="20"/>
        <v>1</v>
      </c>
      <c r="I681" s="3">
        <v>1</v>
      </c>
      <c r="J681" s="3" t="s">
        <v>36</v>
      </c>
      <c r="K681" s="3">
        <f t="shared" si="21"/>
        <v>1</v>
      </c>
    </row>
    <row r="682" spans="1:11" x14ac:dyDescent="0.25">
      <c r="A682" s="3">
        <v>15</v>
      </c>
      <c r="B682" s="13">
        <v>46258.568807870397</v>
      </c>
      <c r="C682" s="3" t="s">
        <v>38</v>
      </c>
      <c r="D682" s="5">
        <v>0.89200000000000002</v>
      </c>
      <c r="E682" s="3" t="s">
        <v>14</v>
      </c>
      <c r="F682" s="5">
        <v>86.908000000000001</v>
      </c>
      <c r="G682" s="3" t="s">
        <v>38</v>
      </c>
      <c r="H682" s="3">
        <f t="shared" si="20"/>
        <v>1</v>
      </c>
      <c r="I682" s="3">
        <v>1</v>
      </c>
      <c r="J682" s="3" t="s">
        <v>38</v>
      </c>
      <c r="K682" s="3">
        <f t="shared" si="21"/>
        <v>1</v>
      </c>
    </row>
    <row r="683" spans="1:11" x14ac:dyDescent="0.25">
      <c r="A683" s="3">
        <v>15</v>
      </c>
      <c r="B683" s="13">
        <v>46258.568958333301</v>
      </c>
      <c r="C683" s="3" t="s">
        <v>38</v>
      </c>
      <c r="D683" s="5">
        <v>0.99</v>
      </c>
      <c r="E683" s="3" t="s">
        <v>14</v>
      </c>
      <c r="F683" s="5">
        <v>114.85299999999999</v>
      </c>
      <c r="G683" s="3" t="s">
        <v>38</v>
      </c>
      <c r="H683" s="3">
        <f t="shared" si="20"/>
        <v>1</v>
      </c>
      <c r="K683" s="3" t="str">
        <f t="shared" si="21"/>
        <v/>
      </c>
    </row>
    <row r="684" spans="1:11" x14ac:dyDescent="0.25">
      <c r="A684" s="3">
        <v>15</v>
      </c>
      <c r="B684" s="13">
        <v>46258.569085648203</v>
      </c>
      <c r="C684" s="3" t="s">
        <v>23</v>
      </c>
      <c r="D684" s="5">
        <v>0.86599999999999999</v>
      </c>
      <c r="E684" s="3" t="s">
        <v>14</v>
      </c>
      <c r="F684" s="5">
        <v>156.62700000000001</v>
      </c>
      <c r="G684" s="3" t="s">
        <v>23</v>
      </c>
      <c r="H684" s="3">
        <f t="shared" si="20"/>
        <v>1</v>
      </c>
      <c r="I684" s="3">
        <v>1</v>
      </c>
      <c r="J684" s="3" t="s">
        <v>23</v>
      </c>
      <c r="K684" s="3">
        <f t="shared" si="21"/>
        <v>1</v>
      </c>
    </row>
    <row r="685" spans="1:11" x14ac:dyDescent="0.25">
      <c r="A685" s="3">
        <v>15</v>
      </c>
      <c r="B685" s="13">
        <v>46258.5691898148</v>
      </c>
      <c r="C685" s="3" t="s">
        <v>28</v>
      </c>
      <c r="D685" s="5">
        <v>0.88100000000000001</v>
      </c>
      <c r="E685" s="3" t="s">
        <v>14</v>
      </c>
      <c r="F685" s="5">
        <v>106.303</v>
      </c>
      <c r="G685" s="3" t="s">
        <v>28</v>
      </c>
      <c r="H685" s="3">
        <f t="shared" si="20"/>
        <v>1</v>
      </c>
      <c r="I685" s="3">
        <v>1</v>
      </c>
      <c r="J685" s="3" t="s">
        <v>28</v>
      </c>
      <c r="K685" s="3">
        <f t="shared" si="21"/>
        <v>1</v>
      </c>
    </row>
    <row r="686" spans="1:11" x14ac:dyDescent="0.25">
      <c r="A686" s="3">
        <v>15</v>
      </c>
      <c r="B686" s="13">
        <v>46258.569328703699</v>
      </c>
      <c r="C686" s="3" t="s">
        <v>38</v>
      </c>
      <c r="D686" s="5">
        <v>0.94299999999999995</v>
      </c>
      <c r="E686" s="3" t="s">
        <v>14</v>
      </c>
      <c r="F686" s="5">
        <v>148.54599999999999</v>
      </c>
      <c r="G686" s="3" t="s">
        <v>38</v>
      </c>
      <c r="H686" s="3">
        <f t="shared" si="20"/>
        <v>1</v>
      </c>
      <c r="K686" s="3" t="str">
        <f t="shared" si="21"/>
        <v/>
      </c>
    </row>
    <row r="687" spans="1:11" x14ac:dyDescent="0.25">
      <c r="A687" s="3">
        <v>15</v>
      </c>
      <c r="B687" s="13">
        <v>46258.569444444503</v>
      </c>
      <c r="C687" s="3" t="s">
        <v>36</v>
      </c>
      <c r="D687" s="5">
        <v>0.81399999999999995</v>
      </c>
      <c r="E687" s="3" t="s">
        <v>14</v>
      </c>
      <c r="F687" s="5">
        <v>143.249</v>
      </c>
      <c r="G687" s="3" t="s">
        <v>25</v>
      </c>
      <c r="H687" s="3">
        <f t="shared" si="20"/>
        <v>0</v>
      </c>
      <c r="K687" s="3" t="str">
        <f t="shared" si="21"/>
        <v/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baseColWidth="10" defaultColWidth="8.7109375" defaultRowHeight="15" x14ac:dyDescent="0.25"/>
  <cols>
    <col min="1" max="1" width="11" customWidth="1"/>
    <col min="2" max="3" width="20" customWidth="1"/>
    <col min="4" max="5" width="14" customWidth="1"/>
    <col min="6" max="6" width="11" customWidth="1"/>
    <col min="7" max="7" width="12" customWidth="1"/>
    <col min="8" max="10" width="11" customWidth="1"/>
    <col min="11" max="11" width="14" customWidth="1"/>
    <col min="12" max="14" width="13" customWidth="1"/>
    <col min="15" max="15" width="12" customWidth="1"/>
    <col min="16" max="17" width="11" customWidth="1"/>
  </cols>
  <sheetData>
    <row r="1" spans="1:17" ht="45" customHeight="1" x14ac:dyDescent="0.25">
      <c r="A1" s="6" t="s">
        <v>0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  <c r="M1" s="6" t="s">
        <v>51</v>
      </c>
      <c r="N1" s="6" t="s">
        <v>52</v>
      </c>
      <c r="O1" s="6" t="s">
        <v>53</v>
      </c>
      <c r="P1" s="6" t="s">
        <v>54</v>
      </c>
      <c r="Q1" s="6" t="s">
        <v>55</v>
      </c>
    </row>
    <row r="2" spans="1:17" x14ac:dyDescent="0.25">
      <c r="A2" s="7">
        <v>1</v>
      </c>
      <c r="B2" s="8">
        <v>46258.375439814816</v>
      </c>
      <c r="C2" s="8">
        <f t="shared" ref="C2:C16" si="0">B2+E2/86400</f>
        <v>46258.383564814816</v>
      </c>
      <c r="D2" s="7">
        <f>COUNTIF(Detalle!$A$2:$A$687,$A2)</f>
        <v>49</v>
      </c>
      <c r="E2" s="7">
        <v>702</v>
      </c>
      <c r="F2" s="7">
        <f>SUMPRODUCT((Detalle!$A$2:$A$687=$A2)/COUNTIFS(Detalle!$A$2:$A$687,Detalle!$A$2:$A$687,Detalle!$C$2:$C$687,Detalle!$C$2:$C$687))</f>
        <v>24.999999999999996</v>
      </c>
      <c r="G2" s="9">
        <f>AVERAGEIFS(Detalle!$D$2:$D$687,Detalle!$A$2:$A$687,$A2)</f>
        <v>0.85855102040816333</v>
      </c>
      <c r="H2" s="9">
        <f>_xlfn.MINIFS(Detalle!$D$2:$D$687,Detalle!$A$2:$A$687,$A2)</f>
        <v>0.69699999999999995</v>
      </c>
      <c r="I2" s="9">
        <f>_xlfn.MAXIFS(Detalle!$D$2:$D$687,Detalle!$A$2:$A$687,$A2)</f>
        <v>0.98199999999999998</v>
      </c>
      <c r="J2" s="9">
        <f>SQRT(SUMPRODUCT((Detalle!$A$2:$A$687=$A2)*(Detalle!$D$2:$D$687-G2)^2)/(D2-1))</f>
        <v>6.2867606001451512E-2</v>
      </c>
      <c r="K2" s="9">
        <f>AVERAGEIFS(Detalle!$F$2:$F$687,Detalle!$A$2:$A$687,$A2)</f>
        <v>115.2374489795918</v>
      </c>
      <c r="L2" s="9">
        <f>_xlfn.MINIFS(Detalle!$F$2:$F$687,Detalle!$A$2:$A$687,$A2)</f>
        <v>85</v>
      </c>
      <c r="M2" s="9">
        <f>_xlfn.MAXIFS(Detalle!$F$2:$F$687,Detalle!$A$2:$A$687,$A2)</f>
        <v>153.34299999999999</v>
      </c>
      <c r="N2" s="9">
        <f>SQRT(SUMPRODUCT((Detalle!$A$2:$A$687=$A2)*(Detalle!$F$2:$F$687-K2)^2)/(D2-1))</f>
        <v>17.481215078693786</v>
      </c>
      <c r="O2" s="7">
        <f>SUMIFS(Detalle!$H$2:$H$687,Detalle!$A$2:$A$687,$A2)</f>
        <v>44</v>
      </c>
      <c r="P2" s="10">
        <f t="shared" ref="P2:P17" si="1">O2/D2*100</f>
        <v>89.795918367346943</v>
      </c>
      <c r="Q2" s="10">
        <f t="shared" ref="Q2:Q17" si="2">100-P2</f>
        <v>10.204081632653057</v>
      </c>
    </row>
    <row r="3" spans="1:17" x14ac:dyDescent="0.25">
      <c r="A3" s="7">
        <v>2</v>
      </c>
      <c r="B3" s="8">
        <v>46258.387650462966</v>
      </c>
      <c r="C3" s="8">
        <f t="shared" si="0"/>
        <v>46258.396099537043</v>
      </c>
      <c r="D3" s="7">
        <f>COUNTIF(Detalle!$A$2:$A$687,$A3)</f>
        <v>51</v>
      </c>
      <c r="E3" s="7">
        <v>730</v>
      </c>
      <c r="F3" s="7">
        <f>SUMPRODUCT((Detalle!$A$2:$A$687=$A3)/COUNTIFS(Detalle!$A$2:$A$687,Detalle!$A$2:$A$687,Detalle!$C$2:$C$687,Detalle!$C$2:$C$687))</f>
        <v>23.999999999999993</v>
      </c>
      <c r="G3" s="9">
        <f>AVERAGEIFS(Detalle!$D$2:$D$687,Detalle!$A$2:$A$687,$A3)</f>
        <v>0.89627450980392154</v>
      </c>
      <c r="H3" s="9">
        <f>_xlfn.MINIFS(Detalle!$D$2:$D$687,Detalle!$A$2:$A$687,$A3)</f>
        <v>0.68700000000000006</v>
      </c>
      <c r="I3" s="9">
        <f>_xlfn.MAXIFS(Detalle!$D$2:$D$687,Detalle!$A$2:$A$687,$A3)</f>
        <v>0.99</v>
      </c>
      <c r="J3" s="9">
        <f>SQRT(SUMPRODUCT((Detalle!$A$2:$A$687=$A3)*(Detalle!$D$2:$D$687-G3)^2)/(D3-1))</f>
        <v>6.7022109316664316E-2</v>
      </c>
      <c r="K3" s="9">
        <f>AVERAGEIFS(Detalle!$F$2:$F$687,Detalle!$A$2:$A$687,$A3)</f>
        <v>117.80458823529406</v>
      </c>
      <c r="L3" s="9">
        <f>_xlfn.MINIFS(Detalle!$F$2:$F$687,Detalle!$A$2:$A$687,$A3)</f>
        <v>85</v>
      </c>
      <c r="M3" s="9">
        <f>_xlfn.MAXIFS(Detalle!$F$2:$F$687,Detalle!$A$2:$A$687,$A3)</f>
        <v>174.96600000000001</v>
      </c>
      <c r="N3" s="9">
        <f>SQRT(SUMPRODUCT((Detalle!$A$2:$A$687=$A3)*(Detalle!$F$2:$F$687-K3)^2)/(D3-1))</f>
        <v>22.051755247305341</v>
      </c>
      <c r="O3" s="7">
        <f>SUMIFS(Detalle!$H$2:$H$687,Detalle!$A$2:$A$687,$A3)</f>
        <v>41</v>
      </c>
      <c r="P3" s="10">
        <f t="shared" si="1"/>
        <v>80.392156862745097</v>
      </c>
      <c r="Q3" s="10">
        <f t="shared" si="2"/>
        <v>19.607843137254903</v>
      </c>
    </row>
    <row r="4" spans="1:17" x14ac:dyDescent="0.25">
      <c r="A4" s="7">
        <v>3</v>
      </c>
      <c r="B4" s="8">
        <v>46258.407638888901</v>
      </c>
      <c r="C4" s="8">
        <f t="shared" si="0"/>
        <v>46258.4151388889</v>
      </c>
      <c r="D4" s="7">
        <f>COUNTIF(Detalle!$A$2:$A$687,$A4)</f>
        <v>56</v>
      </c>
      <c r="E4" s="7">
        <v>648</v>
      </c>
      <c r="F4" s="7">
        <f>SUMPRODUCT((Detalle!$A$2:$A$687=$A4)/COUNTIFS(Detalle!$A$2:$A$687,Detalle!$A$2:$A$687,Detalle!$C$2:$C$687,Detalle!$C$2:$C$687))</f>
        <v>21</v>
      </c>
      <c r="G4" s="9">
        <f>AVERAGEIFS(Detalle!$D$2:$D$687,Detalle!$A$2:$A$687,$A4)</f>
        <v>0.88051785714285702</v>
      </c>
      <c r="H4" s="9">
        <f>_xlfn.MINIFS(Detalle!$D$2:$D$687,Detalle!$A$2:$A$687,$A4)</f>
        <v>0.69799999999999995</v>
      </c>
      <c r="I4" s="9">
        <f>_xlfn.MAXIFS(Detalle!$D$2:$D$687,Detalle!$A$2:$A$687,$A4)</f>
        <v>0.99</v>
      </c>
      <c r="J4" s="9">
        <f>SQRT(SUMPRODUCT((Detalle!$A$2:$A$687=$A4)*(Detalle!$D$2:$D$687-G4)^2)/(D4-1))</f>
        <v>6.900408184802051E-2</v>
      </c>
      <c r="K4" s="9">
        <f>AVERAGEIFS(Detalle!$F$2:$F$687,Detalle!$A$2:$A$687,$A4)</f>
        <v>117.15398214285717</v>
      </c>
      <c r="L4" s="9">
        <f>_xlfn.MINIFS(Detalle!$F$2:$F$687,Detalle!$A$2:$A$687,$A4)</f>
        <v>85</v>
      </c>
      <c r="M4" s="9">
        <f>_xlfn.MAXIFS(Detalle!$F$2:$F$687,Detalle!$A$2:$A$687,$A4)</f>
        <v>162.51900000000001</v>
      </c>
      <c r="N4" s="9">
        <f>SQRT(SUMPRODUCT((Detalle!$A$2:$A$687=$A4)*(Detalle!$F$2:$F$687-K4)^2)/(D4-1))</f>
        <v>19.390646696038388</v>
      </c>
      <c r="O4" s="7">
        <f>SUMIFS(Detalle!$H$2:$H$687,Detalle!$A$2:$A$687,$A4)</f>
        <v>49</v>
      </c>
      <c r="P4" s="10">
        <f t="shared" si="1"/>
        <v>87.5</v>
      </c>
      <c r="Q4" s="10">
        <f t="shared" si="2"/>
        <v>12.5</v>
      </c>
    </row>
    <row r="5" spans="1:17" x14ac:dyDescent="0.25">
      <c r="A5" s="7">
        <v>4</v>
      </c>
      <c r="B5" s="8">
        <v>46258.421527777798</v>
      </c>
      <c r="C5" s="8">
        <f t="shared" si="0"/>
        <v>46258.429976851876</v>
      </c>
      <c r="D5" s="7">
        <f>COUNTIF(Detalle!$A$2:$A$687,$A5)</f>
        <v>34</v>
      </c>
      <c r="E5" s="7">
        <v>730</v>
      </c>
      <c r="F5" s="7">
        <f>SUMPRODUCT((Detalle!$A$2:$A$687=$A5)/COUNTIFS(Detalle!$A$2:$A$687,Detalle!$A$2:$A$687,Detalle!$C$2:$C$687,Detalle!$C$2:$C$687))</f>
        <v>21</v>
      </c>
      <c r="G5" s="9">
        <f>AVERAGEIFS(Detalle!$D$2:$D$687,Detalle!$A$2:$A$687,$A5)</f>
        <v>0.88032352941176484</v>
      </c>
      <c r="H5" s="9">
        <f>_xlfn.MINIFS(Detalle!$D$2:$D$687,Detalle!$A$2:$A$687,$A5)</f>
        <v>0.69199999999999995</v>
      </c>
      <c r="I5" s="9">
        <f>_xlfn.MAXIFS(Detalle!$D$2:$D$687,Detalle!$A$2:$A$687,$A5)</f>
        <v>0.99</v>
      </c>
      <c r="J5" s="9">
        <f>SQRT(SUMPRODUCT((Detalle!$A$2:$A$687=$A5)*(Detalle!$D$2:$D$687-G5)^2)/(D5-1))</f>
        <v>7.2478929263378164E-2</v>
      </c>
      <c r="K5" s="9">
        <f>AVERAGEIFS(Detalle!$F$2:$F$687,Detalle!$A$2:$A$687,$A5)</f>
        <v>123.89355882352939</v>
      </c>
      <c r="L5" s="9">
        <f>_xlfn.MINIFS(Detalle!$F$2:$F$687,Detalle!$A$2:$A$687,$A5)</f>
        <v>88.977000000000004</v>
      </c>
      <c r="M5" s="9">
        <f>_xlfn.MAXIFS(Detalle!$F$2:$F$687,Detalle!$A$2:$A$687,$A5)</f>
        <v>171.84100000000001</v>
      </c>
      <c r="N5" s="9">
        <f>SQRT(SUMPRODUCT((Detalle!$A$2:$A$687=$A5)*(Detalle!$F$2:$F$687-K5)^2)/(D5-1))</f>
        <v>22.263557762720918</v>
      </c>
      <c r="O5" s="7">
        <f>SUMIFS(Detalle!$H$2:$H$687,Detalle!$A$2:$A$687,$A5)</f>
        <v>30</v>
      </c>
      <c r="P5" s="10">
        <f t="shared" si="1"/>
        <v>88.235294117647058</v>
      </c>
      <c r="Q5" s="10">
        <f t="shared" si="2"/>
        <v>11.764705882352942</v>
      </c>
    </row>
    <row r="6" spans="1:17" x14ac:dyDescent="0.25">
      <c r="A6" s="7">
        <v>5</v>
      </c>
      <c r="B6" s="8">
        <v>46258.438194444498</v>
      </c>
      <c r="C6" s="8">
        <f t="shared" si="0"/>
        <v>46258.446192129682</v>
      </c>
      <c r="D6" s="7">
        <f>COUNTIF(Detalle!$A$2:$A$687,$A6)</f>
        <v>44</v>
      </c>
      <c r="E6" s="7">
        <v>691</v>
      </c>
      <c r="F6" s="7">
        <f>SUMPRODUCT((Detalle!$A$2:$A$687=$A6)/COUNTIFS(Detalle!$A$2:$A$687,Detalle!$A$2:$A$687,Detalle!$C$2:$C$687,Detalle!$C$2:$C$687))</f>
        <v>23.999999999999996</v>
      </c>
      <c r="G6" s="9">
        <f>AVERAGEIFS(Detalle!$D$2:$D$687,Detalle!$A$2:$A$687,$A6)</f>
        <v>0.85990909090909107</v>
      </c>
      <c r="H6" s="9">
        <f>_xlfn.MINIFS(Detalle!$D$2:$D$687,Detalle!$A$2:$A$687,$A6)</f>
        <v>0.66100000000000003</v>
      </c>
      <c r="I6" s="9">
        <f>_xlfn.MAXIFS(Detalle!$D$2:$D$687,Detalle!$A$2:$A$687,$A6)</f>
        <v>0.99</v>
      </c>
      <c r="J6" s="9">
        <f>SQRT(SUMPRODUCT((Detalle!$A$2:$A$687=$A6)*(Detalle!$D$2:$D$687-G6)^2)/(D6-1))</f>
        <v>6.7697623942989532E-2</v>
      </c>
      <c r="K6" s="9">
        <f>AVERAGEIFS(Detalle!$F$2:$F$687,Detalle!$A$2:$A$687,$A6)</f>
        <v>123.16504545454546</v>
      </c>
      <c r="L6" s="9">
        <f>_xlfn.MINIFS(Detalle!$F$2:$F$687,Detalle!$A$2:$A$687,$A6)</f>
        <v>85</v>
      </c>
      <c r="M6" s="9">
        <f>_xlfn.MAXIFS(Detalle!$F$2:$F$687,Detalle!$A$2:$A$687,$A6)</f>
        <v>163.68100000000001</v>
      </c>
      <c r="N6" s="9">
        <f>SQRT(SUMPRODUCT((Detalle!$A$2:$A$687=$A6)*(Detalle!$F$2:$F$687-K6)^2)/(D6-1))</f>
        <v>19.139972594758813</v>
      </c>
      <c r="O6" s="7">
        <f>SUMIFS(Detalle!$H$2:$H$687,Detalle!$A$2:$A$687,$A6)</f>
        <v>38</v>
      </c>
      <c r="P6" s="10">
        <f t="shared" si="1"/>
        <v>86.36363636363636</v>
      </c>
      <c r="Q6" s="10">
        <f t="shared" si="2"/>
        <v>13.63636363636364</v>
      </c>
    </row>
    <row r="7" spans="1:17" x14ac:dyDescent="0.25">
      <c r="A7" s="7">
        <v>6</v>
      </c>
      <c r="B7" s="8">
        <v>46258.449305555601</v>
      </c>
      <c r="C7" s="8">
        <f t="shared" si="0"/>
        <v>46258.457465277825</v>
      </c>
      <c r="D7" s="7">
        <f>COUNTIF(Detalle!$A$2:$A$687,$A7)</f>
        <v>33</v>
      </c>
      <c r="E7" s="7">
        <v>705</v>
      </c>
      <c r="F7" s="7">
        <f>SUMPRODUCT((Detalle!$A$2:$A$687=$A7)/COUNTIFS(Detalle!$A$2:$A$687,Detalle!$A$2:$A$687,Detalle!$C$2:$C$687,Detalle!$C$2:$C$687))</f>
        <v>21.999999999999996</v>
      </c>
      <c r="G7" s="9">
        <f>AVERAGEIFS(Detalle!$D$2:$D$687,Detalle!$A$2:$A$687,$A7)</f>
        <v>0.84860606060606047</v>
      </c>
      <c r="H7" s="9">
        <f>_xlfn.MINIFS(Detalle!$D$2:$D$687,Detalle!$A$2:$A$687,$A7)</f>
        <v>0.66800000000000004</v>
      </c>
      <c r="I7" s="9">
        <f>_xlfn.MAXIFS(Detalle!$D$2:$D$687,Detalle!$A$2:$A$687,$A7)</f>
        <v>0.97399999999999998</v>
      </c>
      <c r="J7" s="9">
        <f>SQRT(SUMPRODUCT((Detalle!$A$2:$A$687=$A7)*(Detalle!$D$2:$D$687-G7)^2)/(D7-1))</f>
        <v>6.4179406448807333E-2</v>
      </c>
      <c r="K7" s="9">
        <f>AVERAGEIFS(Detalle!$F$2:$F$687,Detalle!$A$2:$A$687,$A7)</f>
        <v>130.09372727272725</v>
      </c>
      <c r="L7" s="9">
        <f>_xlfn.MINIFS(Detalle!$F$2:$F$687,Detalle!$A$2:$A$687,$A7)</f>
        <v>87.855999999999995</v>
      </c>
      <c r="M7" s="9">
        <f>_xlfn.MAXIFS(Detalle!$F$2:$F$687,Detalle!$A$2:$A$687,$A7)</f>
        <v>159.88300000000001</v>
      </c>
      <c r="N7" s="9">
        <f>SQRT(SUMPRODUCT((Detalle!$A$2:$A$687=$A7)*(Detalle!$F$2:$F$687-K7)^2)/(D7-1))</f>
        <v>17.252074895633434</v>
      </c>
      <c r="O7" s="7">
        <f>SUMIFS(Detalle!$H$2:$H$687,Detalle!$A$2:$A$687,$A7)</f>
        <v>29</v>
      </c>
      <c r="P7" s="10">
        <f t="shared" si="1"/>
        <v>87.878787878787875</v>
      </c>
      <c r="Q7" s="10">
        <f t="shared" si="2"/>
        <v>12.121212121212125</v>
      </c>
    </row>
    <row r="8" spans="1:17" x14ac:dyDescent="0.25">
      <c r="A8" s="7">
        <v>7</v>
      </c>
      <c r="B8" s="8">
        <v>46258.459027777797</v>
      </c>
      <c r="C8" s="8">
        <f t="shared" si="0"/>
        <v>46258.468877314837</v>
      </c>
      <c r="D8" s="7">
        <f>COUNTIF(Detalle!$A$2:$A$687,$A8)</f>
        <v>54</v>
      </c>
      <c r="E8" s="7">
        <v>851</v>
      </c>
      <c r="F8" s="7">
        <f>SUMPRODUCT((Detalle!$A$2:$A$687=$A8)/COUNTIFS(Detalle!$A$2:$A$687,Detalle!$A$2:$A$687,Detalle!$C$2:$C$687,Detalle!$C$2:$C$687))</f>
        <v>24</v>
      </c>
      <c r="G8" s="9">
        <f>AVERAGEIFS(Detalle!$D$2:$D$687,Detalle!$A$2:$A$687,$A8)</f>
        <v>0.86150000000000038</v>
      </c>
      <c r="H8" s="9">
        <f>_xlfn.MINIFS(Detalle!$D$2:$D$687,Detalle!$A$2:$A$687,$A8)</f>
        <v>0.69499999999999995</v>
      </c>
      <c r="I8" s="9">
        <f>_xlfn.MAXIFS(Detalle!$D$2:$D$687,Detalle!$A$2:$A$687,$A8)</f>
        <v>0.98399999999999999</v>
      </c>
      <c r="J8" s="9">
        <f>SQRT(SUMPRODUCT((Detalle!$A$2:$A$687=$A8)*(Detalle!$D$2:$D$687-G8)^2)/(D8-1))</f>
        <v>6.7687336124995431E-2</v>
      </c>
      <c r="K8" s="9">
        <f>AVERAGEIFS(Detalle!$F$2:$F$687,Detalle!$A$2:$A$687,$A8)</f>
        <v>122.20777777777779</v>
      </c>
      <c r="L8" s="9">
        <f>_xlfn.MINIFS(Detalle!$F$2:$F$687,Detalle!$A$2:$A$687,$A8)</f>
        <v>85</v>
      </c>
      <c r="M8" s="9">
        <f>_xlfn.MAXIFS(Detalle!$F$2:$F$687,Detalle!$A$2:$A$687,$A8)</f>
        <v>162.21700000000001</v>
      </c>
      <c r="N8" s="9">
        <f>SQRT(SUMPRODUCT((Detalle!$A$2:$A$687=$A8)*(Detalle!$F$2:$F$687-K8)^2)/(D8-1))</f>
        <v>20.562798841016289</v>
      </c>
      <c r="O8" s="7">
        <f>SUMIFS(Detalle!$H$2:$H$687,Detalle!$A$2:$A$687,$A8)</f>
        <v>43</v>
      </c>
      <c r="P8" s="10">
        <f t="shared" si="1"/>
        <v>79.629629629629633</v>
      </c>
      <c r="Q8" s="10">
        <f t="shared" si="2"/>
        <v>20.370370370370367</v>
      </c>
    </row>
    <row r="9" spans="1:17" x14ac:dyDescent="0.25">
      <c r="A9" s="7">
        <v>8</v>
      </c>
      <c r="B9" s="8">
        <v>46258.471527777801</v>
      </c>
      <c r="C9" s="8">
        <f t="shared" si="0"/>
        <v>46258.478634259285</v>
      </c>
      <c r="D9" s="7">
        <f>COUNTIF(Detalle!$A$2:$A$687,$A9)</f>
        <v>42</v>
      </c>
      <c r="E9" s="7">
        <v>614</v>
      </c>
      <c r="F9" s="7">
        <f>SUMPRODUCT((Detalle!$A$2:$A$687=$A9)/COUNTIFS(Detalle!$A$2:$A$687,Detalle!$A$2:$A$687,Detalle!$C$2:$C$687,Detalle!$C$2:$C$687))</f>
        <v>20.999999999999993</v>
      </c>
      <c r="G9" s="9">
        <f>AVERAGEIFS(Detalle!$D$2:$D$687,Detalle!$A$2:$A$687,$A9)</f>
        <v>0.8429523809523809</v>
      </c>
      <c r="H9" s="9">
        <f>_xlfn.MINIFS(Detalle!$D$2:$D$687,Detalle!$A$2:$A$687,$A9)</f>
        <v>0.65500000000000003</v>
      </c>
      <c r="I9" s="9">
        <f>_xlfn.MAXIFS(Detalle!$D$2:$D$687,Detalle!$A$2:$A$687,$A9)</f>
        <v>0.97899999999999998</v>
      </c>
      <c r="J9" s="9">
        <f>SQRT(SUMPRODUCT((Detalle!$A$2:$A$687=$A9)*(Detalle!$D$2:$D$687-G9)^2)/(D9-1))</f>
        <v>7.0772721898514732E-2</v>
      </c>
      <c r="K9" s="9">
        <f>AVERAGEIFS(Detalle!$F$2:$F$687,Detalle!$A$2:$A$687,$A9)</f>
        <v>111.30761904761907</v>
      </c>
      <c r="L9" s="9">
        <f>_xlfn.MINIFS(Detalle!$F$2:$F$687,Detalle!$A$2:$A$687,$A9)</f>
        <v>85</v>
      </c>
      <c r="M9" s="9">
        <f>_xlfn.MAXIFS(Detalle!$F$2:$F$687,Detalle!$A$2:$A$687,$A9)</f>
        <v>146.12299999999999</v>
      </c>
      <c r="N9" s="9">
        <f>SQRT(SUMPRODUCT((Detalle!$A$2:$A$687=$A9)*(Detalle!$F$2:$F$687-K9)^2)/(D9-1))</f>
        <v>18.259967743609987</v>
      </c>
      <c r="O9" s="7">
        <f>SUMIFS(Detalle!$H$2:$H$687,Detalle!$A$2:$A$687,$A9)</f>
        <v>35</v>
      </c>
      <c r="P9" s="10">
        <f t="shared" si="1"/>
        <v>83.333333333333343</v>
      </c>
      <c r="Q9" s="10">
        <f t="shared" si="2"/>
        <v>16.666666666666657</v>
      </c>
    </row>
    <row r="10" spans="1:17" x14ac:dyDescent="0.25">
      <c r="A10" s="7">
        <v>9</v>
      </c>
      <c r="B10" s="8">
        <v>46258.482638888898</v>
      </c>
      <c r="C10" s="8">
        <f t="shared" si="0"/>
        <v>46258.4925925926</v>
      </c>
      <c r="D10" s="7">
        <f>COUNTIF(Detalle!$A$2:$A$687,$A10)</f>
        <v>39</v>
      </c>
      <c r="E10" s="7">
        <v>860</v>
      </c>
      <c r="F10" s="7">
        <f>SUMPRODUCT((Detalle!$A$2:$A$687=$A10)/COUNTIFS(Detalle!$A$2:$A$687,Detalle!$A$2:$A$687,Detalle!$C$2:$C$687,Detalle!$C$2:$C$687))</f>
        <v>24.999999999999996</v>
      </c>
      <c r="G10" s="9">
        <f>AVERAGEIFS(Detalle!$D$2:$D$687,Detalle!$A$2:$A$687,$A10)</f>
        <v>0.88612820512820523</v>
      </c>
      <c r="H10" s="9">
        <f>_xlfn.MINIFS(Detalle!$D$2:$D$687,Detalle!$A$2:$A$687,$A10)</f>
        <v>0.73899999999999999</v>
      </c>
      <c r="I10" s="9">
        <f>_xlfn.MAXIFS(Detalle!$D$2:$D$687,Detalle!$A$2:$A$687,$A10)</f>
        <v>0.98699999999999999</v>
      </c>
      <c r="J10" s="9">
        <f>SQRT(SUMPRODUCT((Detalle!$A$2:$A$687=$A10)*(Detalle!$D$2:$D$687-G10)^2)/(D10-1))</f>
        <v>6.5111313386416819E-2</v>
      </c>
      <c r="K10" s="9">
        <f>AVERAGEIFS(Detalle!$F$2:$F$687,Detalle!$A$2:$A$687,$A10)</f>
        <v>121.04661538461539</v>
      </c>
      <c r="L10" s="9">
        <f>_xlfn.MINIFS(Detalle!$F$2:$F$687,Detalle!$A$2:$A$687,$A10)</f>
        <v>85</v>
      </c>
      <c r="M10" s="9">
        <f>_xlfn.MAXIFS(Detalle!$F$2:$F$687,Detalle!$A$2:$A$687,$A10)</f>
        <v>150.55000000000001</v>
      </c>
      <c r="N10" s="9">
        <f>SQRT(SUMPRODUCT((Detalle!$A$2:$A$687=$A10)*(Detalle!$F$2:$F$687-K10)^2)/(D10-1))</f>
        <v>16.947395781335576</v>
      </c>
      <c r="O10" s="7">
        <f>SUMIFS(Detalle!$H$2:$H$687,Detalle!$A$2:$A$687,$A10)</f>
        <v>35</v>
      </c>
      <c r="P10" s="10">
        <f t="shared" si="1"/>
        <v>89.743589743589752</v>
      </c>
      <c r="Q10" s="10">
        <f t="shared" si="2"/>
        <v>10.256410256410248</v>
      </c>
    </row>
    <row r="11" spans="1:17" x14ac:dyDescent="0.25">
      <c r="A11" s="7">
        <v>10</v>
      </c>
      <c r="B11" s="8">
        <v>46258.493055555598</v>
      </c>
      <c r="C11" s="8">
        <f t="shared" si="0"/>
        <v>46258.501979166707</v>
      </c>
      <c r="D11" s="7">
        <f>COUNTIF(Detalle!$A$2:$A$687,$A11)</f>
        <v>37</v>
      </c>
      <c r="E11" s="7">
        <v>771</v>
      </c>
      <c r="F11" s="7">
        <f>SUMPRODUCT((Detalle!$A$2:$A$687=$A11)/COUNTIFS(Detalle!$A$2:$A$687,Detalle!$A$2:$A$687,Detalle!$C$2:$C$687,Detalle!$C$2:$C$687))</f>
        <v>22.999999999999996</v>
      </c>
      <c r="G11" s="9">
        <f>AVERAGEIFS(Detalle!$D$2:$D$687,Detalle!$A$2:$A$687,$A11)</f>
        <v>0.9086486486486488</v>
      </c>
      <c r="H11" s="9">
        <f>_xlfn.MINIFS(Detalle!$D$2:$D$687,Detalle!$A$2:$A$687,$A11)</f>
        <v>0.79900000000000004</v>
      </c>
      <c r="I11" s="9">
        <f>_xlfn.MAXIFS(Detalle!$D$2:$D$687,Detalle!$A$2:$A$687,$A11)</f>
        <v>0.99</v>
      </c>
      <c r="J11" s="9">
        <f>SQRT(SUMPRODUCT((Detalle!$A$2:$A$687=$A11)*(Detalle!$D$2:$D$687-G11)^2)/(D11-1))</f>
        <v>6.0355988479564672E-2</v>
      </c>
      <c r="K11" s="9">
        <f>AVERAGEIFS(Detalle!$F$2:$F$687,Detalle!$A$2:$A$687,$A11)</f>
        <v>126.87072972972969</v>
      </c>
      <c r="L11" s="9">
        <f>_xlfn.MINIFS(Detalle!$F$2:$F$687,Detalle!$A$2:$A$687,$A11)</f>
        <v>85.819000000000003</v>
      </c>
      <c r="M11" s="9">
        <f>_xlfn.MAXIFS(Detalle!$F$2:$F$687,Detalle!$A$2:$A$687,$A11)</f>
        <v>180.55099999999999</v>
      </c>
      <c r="N11" s="9">
        <f>SQRT(SUMPRODUCT((Detalle!$A$2:$A$687=$A11)*(Detalle!$F$2:$F$687-K11)^2)/(D11-1))</f>
        <v>21.371520806708904</v>
      </c>
      <c r="O11" s="7">
        <f>SUMIFS(Detalle!$H$2:$H$687,Detalle!$A$2:$A$687,$A11)</f>
        <v>31</v>
      </c>
      <c r="P11" s="10">
        <f t="shared" si="1"/>
        <v>83.78378378378379</v>
      </c>
      <c r="Q11" s="10">
        <f t="shared" si="2"/>
        <v>16.21621621621621</v>
      </c>
    </row>
    <row r="12" spans="1:17" x14ac:dyDescent="0.25">
      <c r="A12" s="7">
        <v>11</v>
      </c>
      <c r="B12" s="8">
        <v>46258.506249999999</v>
      </c>
      <c r="C12" s="8">
        <f t="shared" si="0"/>
        <v>46258.5155787037</v>
      </c>
      <c r="D12" s="7">
        <f>COUNTIF(Detalle!$A$2:$A$687,$A12)</f>
        <v>44</v>
      </c>
      <c r="E12" s="7">
        <v>806</v>
      </c>
      <c r="F12" s="7">
        <f>SUMPRODUCT((Detalle!$A$2:$A$687=$A12)/COUNTIFS(Detalle!$A$2:$A$687,Detalle!$A$2:$A$687,Detalle!$C$2:$C$687,Detalle!$C$2:$C$687))</f>
        <v>21.999999999999996</v>
      </c>
      <c r="G12" s="9">
        <f>AVERAGEIFS(Detalle!$D$2:$D$687,Detalle!$A$2:$A$687,$A12)</f>
        <v>0.83784090909090914</v>
      </c>
      <c r="H12" s="9">
        <f>_xlfn.MINIFS(Detalle!$D$2:$D$687,Detalle!$A$2:$A$687,$A12)</f>
        <v>0.65800000000000003</v>
      </c>
      <c r="I12" s="9">
        <f>_xlfn.MAXIFS(Detalle!$D$2:$D$687,Detalle!$A$2:$A$687,$A12)</f>
        <v>0.95099999999999996</v>
      </c>
      <c r="J12" s="9">
        <f>SQRT(SUMPRODUCT((Detalle!$A$2:$A$687=$A12)*(Detalle!$D$2:$D$687-G12)^2)/(D12-1))</f>
        <v>7.3504609310246716E-2</v>
      </c>
      <c r="K12" s="9">
        <f>AVERAGEIFS(Detalle!$F$2:$F$687,Detalle!$A$2:$A$687,$A12)</f>
        <v>127.53615909090909</v>
      </c>
      <c r="L12" s="9">
        <f>_xlfn.MINIFS(Detalle!$F$2:$F$687,Detalle!$A$2:$A$687,$A12)</f>
        <v>98.525999999999996</v>
      </c>
      <c r="M12" s="9">
        <f>_xlfn.MAXIFS(Detalle!$F$2:$F$687,Detalle!$A$2:$A$687,$A12)</f>
        <v>159.11799999999999</v>
      </c>
      <c r="N12" s="9">
        <f>SQRT(SUMPRODUCT((Detalle!$A$2:$A$687=$A12)*(Detalle!$F$2:$F$687-K12)^2)/(D12-1))</f>
        <v>14.063982529924036</v>
      </c>
      <c r="O12" s="7">
        <f>SUMIFS(Detalle!$H$2:$H$687,Detalle!$A$2:$A$687,$A12)</f>
        <v>38</v>
      </c>
      <c r="P12" s="10">
        <f t="shared" si="1"/>
        <v>86.36363636363636</v>
      </c>
      <c r="Q12" s="10">
        <f t="shared" si="2"/>
        <v>13.63636363636364</v>
      </c>
    </row>
    <row r="13" spans="1:17" x14ac:dyDescent="0.25">
      <c r="A13" s="7">
        <v>12</v>
      </c>
      <c r="B13" s="8">
        <v>46258.521527777797</v>
      </c>
      <c r="C13" s="8">
        <f>B13+E13/86400</f>
        <v>46258.531203703722</v>
      </c>
      <c r="D13" s="7">
        <f>COUNTIF(Detalle!$A$2:$A$687,$A13)</f>
        <v>44</v>
      </c>
      <c r="E13" s="7">
        <v>836</v>
      </c>
      <c r="F13" s="7">
        <f>SUMPRODUCT((Detalle!$A$2:$A$687=$A13)/COUNTIFS(Detalle!$A$2:$A$687,Detalle!$A$2:$A$687,Detalle!$C$2:$C$687,Detalle!$C$2:$C$687))</f>
        <v>22.999999999999996</v>
      </c>
      <c r="G13" s="9">
        <f>AVERAGEIFS(Detalle!$D$2:$D$687,Detalle!$A$2:$A$687,$A13)</f>
        <v>0.87502272727272701</v>
      </c>
      <c r="H13" s="9">
        <f>_xlfn.MINIFS(Detalle!$D$2:$D$687,Detalle!$A$2:$A$687,$A13)</f>
        <v>0.74399999999999999</v>
      </c>
      <c r="I13" s="9">
        <f>_xlfn.MAXIFS(Detalle!$D$2:$D$687,Detalle!$A$2:$A$687,$A13)</f>
        <v>0.96899999999999997</v>
      </c>
      <c r="J13" s="9">
        <f>SQRT(SUMPRODUCT((Detalle!$A$2:$A$687=$A13)*(Detalle!$D$2:$D$687-G13)^2)/(D13-1))</f>
        <v>5.1144796109997281E-2</v>
      </c>
      <c r="K13" s="9">
        <f>AVERAGEIFS(Detalle!$F$2:$F$687,Detalle!$A$2:$A$687,$A13)</f>
        <v>133.74597727272729</v>
      </c>
      <c r="L13" s="9">
        <f>_xlfn.MINIFS(Detalle!$F$2:$F$687,Detalle!$A$2:$A$687,$A13)</f>
        <v>98.132000000000005</v>
      </c>
      <c r="M13" s="9">
        <f>_xlfn.MAXIFS(Detalle!$F$2:$F$687,Detalle!$A$2:$A$687,$A13)</f>
        <v>184.572</v>
      </c>
      <c r="N13" s="9">
        <f>SQRT(SUMPRODUCT((Detalle!$A$2:$A$687=$A13)*(Detalle!$F$2:$F$687-K13)^2)/(D13-1))</f>
        <v>21.652309614695479</v>
      </c>
      <c r="O13" s="7">
        <f>SUMIFS(Detalle!$H$2:$H$687,Detalle!$A$2:$A$687,$A13)</f>
        <v>41</v>
      </c>
      <c r="P13" s="10">
        <f t="shared" si="1"/>
        <v>93.181818181818173</v>
      </c>
      <c r="Q13" s="10">
        <f t="shared" si="2"/>
        <v>6.8181818181818272</v>
      </c>
    </row>
    <row r="14" spans="1:17" x14ac:dyDescent="0.25">
      <c r="A14" s="7">
        <v>13</v>
      </c>
      <c r="B14" s="8">
        <v>46258.531944444498</v>
      </c>
      <c r="C14" s="8">
        <f t="shared" si="0"/>
        <v>46258.542164351908</v>
      </c>
      <c r="D14" s="7">
        <f>COUNTIF(Detalle!$A$2:$A$687,$A14)</f>
        <v>57</v>
      </c>
      <c r="E14" s="7">
        <v>883</v>
      </c>
      <c r="F14" s="7">
        <f>SUMPRODUCT((Detalle!$A$2:$A$687=$A14)/COUNTIFS(Detalle!$A$2:$A$687,Detalle!$A$2:$A$687,Detalle!$C$2:$C$687,Detalle!$C$2:$C$687))</f>
        <v>23.999999999999986</v>
      </c>
      <c r="G14" s="9">
        <f>AVERAGEIFS(Detalle!$D$2:$D$687,Detalle!$A$2:$A$687,$A14)</f>
        <v>0.85156140350877185</v>
      </c>
      <c r="H14" s="9">
        <f>_xlfn.MINIFS(Detalle!$D$2:$D$687,Detalle!$A$2:$A$687,$A14)</f>
        <v>0.69</v>
      </c>
      <c r="I14" s="9">
        <f>_xlfn.MAXIFS(Detalle!$D$2:$D$687,Detalle!$A$2:$A$687,$A14)</f>
        <v>0.96499999999999997</v>
      </c>
      <c r="J14" s="9">
        <f>SQRT(SUMPRODUCT((Detalle!$A$2:$A$687=$A14)*(Detalle!$D$2:$D$687-G14)^2)/(D14-1))</f>
        <v>6.1938626750270093E-2</v>
      </c>
      <c r="K14" s="9">
        <f>AVERAGEIFS(Detalle!$F$2:$F$687,Detalle!$A$2:$A$687,$A14)</f>
        <v>127.35901754385964</v>
      </c>
      <c r="L14" s="9">
        <f>_xlfn.MINIFS(Detalle!$F$2:$F$687,Detalle!$A$2:$A$687,$A14)</f>
        <v>92.17</v>
      </c>
      <c r="M14" s="9">
        <f>_xlfn.MAXIFS(Detalle!$F$2:$F$687,Detalle!$A$2:$A$687,$A14)</f>
        <v>172.50700000000001</v>
      </c>
      <c r="N14" s="9">
        <f>SQRT(SUMPRODUCT((Detalle!$A$2:$A$687=$A14)*(Detalle!$F$2:$F$687-K14)^2)/(D14-1))</f>
        <v>18.675816919874929</v>
      </c>
      <c r="O14" s="7">
        <f>SUMIFS(Detalle!$H$2:$H$687,Detalle!$A$2:$A$687,$A14)</f>
        <v>47</v>
      </c>
      <c r="P14" s="10">
        <f t="shared" si="1"/>
        <v>82.456140350877192</v>
      </c>
      <c r="Q14" s="10">
        <f t="shared" si="2"/>
        <v>17.543859649122808</v>
      </c>
    </row>
    <row r="15" spans="1:17" x14ac:dyDescent="0.25">
      <c r="A15" s="7">
        <v>14</v>
      </c>
      <c r="B15" s="8">
        <v>46258.546527777798</v>
      </c>
      <c r="C15" s="8">
        <f t="shared" si="0"/>
        <v>46258.55486111113</v>
      </c>
      <c r="D15" s="7">
        <f>COUNTIF(Detalle!$A$2:$A$687,$A15)</f>
        <v>49</v>
      </c>
      <c r="E15" s="7">
        <v>720</v>
      </c>
      <c r="F15" s="7">
        <f>SUMPRODUCT((Detalle!$A$2:$A$687=$A15)/COUNTIFS(Detalle!$A$2:$A$687,Detalle!$A$2:$A$687,Detalle!$C$2:$C$687,Detalle!$C$2:$C$687))</f>
        <v>22.999999999999996</v>
      </c>
      <c r="G15" s="9">
        <f>AVERAGEIFS(Detalle!$D$2:$D$687,Detalle!$A$2:$A$687,$A15)</f>
        <v>0.89095918367346949</v>
      </c>
      <c r="H15" s="9">
        <f>_xlfn.MINIFS(Detalle!$D$2:$D$687,Detalle!$A$2:$A$687,$A15)</f>
        <v>0.74</v>
      </c>
      <c r="I15" s="9">
        <f>_xlfn.MAXIFS(Detalle!$D$2:$D$687,Detalle!$A$2:$A$687,$A15)</f>
        <v>0.99</v>
      </c>
      <c r="J15" s="9">
        <f>SQRT(SUMPRODUCT((Detalle!$A$2:$A$687=$A15)*(Detalle!$D$2:$D$687-G15)^2)/(D15-1))</f>
        <v>7.0648177372005821E-2</v>
      </c>
      <c r="K15" s="9">
        <f>AVERAGEIFS(Detalle!$F$2:$F$687,Detalle!$A$2:$A$687,$A15)</f>
        <v>117.46948979591839</v>
      </c>
      <c r="L15" s="9">
        <f>_xlfn.MINIFS(Detalle!$F$2:$F$687,Detalle!$A$2:$A$687,$A15)</f>
        <v>85</v>
      </c>
      <c r="M15" s="9">
        <f>_xlfn.MAXIFS(Detalle!$F$2:$F$687,Detalle!$A$2:$A$687,$A15)</f>
        <v>154.18</v>
      </c>
      <c r="N15" s="9">
        <f>SQRT(SUMPRODUCT((Detalle!$A$2:$A$687=$A15)*(Detalle!$F$2:$F$687-K15)^2)/(D15-1))</f>
        <v>17.332960484919155</v>
      </c>
      <c r="O15" s="7">
        <f>SUMIFS(Detalle!$H$2:$H$687,Detalle!$A$2:$A$687,$A15)</f>
        <v>40</v>
      </c>
      <c r="P15" s="10">
        <f t="shared" si="1"/>
        <v>81.632653061224488</v>
      </c>
      <c r="Q15" s="10">
        <f t="shared" si="2"/>
        <v>18.367346938775512</v>
      </c>
    </row>
    <row r="16" spans="1:17" x14ac:dyDescent="0.25">
      <c r="A16" s="7">
        <v>15</v>
      </c>
      <c r="B16" s="8">
        <v>46258.561111111099</v>
      </c>
      <c r="C16" s="8">
        <f t="shared" si="0"/>
        <v>46258.569895833323</v>
      </c>
      <c r="D16" s="7">
        <f>COUNTIF(Detalle!$A$2:$A$687,$A16)</f>
        <v>53</v>
      </c>
      <c r="E16" s="7">
        <v>759</v>
      </c>
      <c r="F16" s="7">
        <f>SUMPRODUCT((Detalle!$A$2:$A$687=$A16)/COUNTIFS(Detalle!$A$2:$A$687,Detalle!$A$2:$A$687,Detalle!$C$2:$C$687,Detalle!$C$2:$C$687))</f>
        <v>21.999999999999996</v>
      </c>
      <c r="G16" s="9">
        <f>AVERAGEIFS(Detalle!$D$2:$D$687,Detalle!$A$2:$A$687,$A16)</f>
        <v>0.8690188679245282</v>
      </c>
      <c r="H16" s="9">
        <f>_xlfn.MINIFS(Detalle!$D$2:$D$687,Detalle!$A$2:$A$687,$A16)</f>
        <v>0.67900000000000005</v>
      </c>
      <c r="I16" s="9">
        <f>_xlfn.MAXIFS(Detalle!$D$2:$D$687,Detalle!$A$2:$A$687,$A16)</f>
        <v>0.99</v>
      </c>
      <c r="J16" s="9">
        <f>SQRT(SUMPRODUCT((Detalle!$A$2:$A$687=$A16)*(Detalle!$D$2:$D$687-G16)^2)/(D16-1))</f>
        <v>7.102369338305832E-2</v>
      </c>
      <c r="K16" s="9">
        <f>AVERAGEIFS(Detalle!$F$2:$F$687,Detalle!$A$2:$A$687,$A16)</f>
        <v>124.58932075471699</v>
      </c>
      <c r="L16" s="9">
        <f>_xlfn.MINIFS(Detalle!$F$2:$F$687,Detalle!$A$2:$A$687,$A16)</f>
        <v>85.757000000000005</v>
      </c>
      <c r="M16" s="9">
        <f>_xlfn.MAXIFS(Detalle!$F$2:$F$687,Detalle!$A$2:$A$687,$A16)</f>
        <v>175.09899999999999</v>
      </c>
      <c r="N16" s="9">
        <f>SQRT(SUMPRODUCT((Detalle!$A$2:$A$687=$A16)*(Detalle!$F$2:$F$687-K16)^2)/(D16-1))</f>
        <v>19.503087346103779</v>
      </c>
      <c r="O16" s="7">
        <f>SUMIFS(Detalle!$H$2:$H$687,Detalle!$A$2:$A$687,$A16)</f>
        <v>46</v>
      </c>
      <c r="P16" s="10">
        <f t="shared" si="1"/>
        <v>86.79245283018868</v>
      </c>
      <c r="Q16" s="10">
        <f t="shared" si="2"/>
        <v>13.20754716981132</v>
      </c>
    </row>
    <row r="17" spans="1:17" x14ac:dyDescent="0.25">
      <c r="A17" s="3" t="s">
        <v>56</v>
      </c>
      <c r="B17" s="11"/>
      <c r="C17" s="11"/>
      <c r="D17" s="3">
        <f>SUM(D2:D16)</f>
        <v>686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3">
        <f>SUM(O2:O16)</f>
        <v>587</v>
      </c>
      <c r="P17" s="12">
        <f t="shared" si="1"/>
        <v>85.568513119533534</v>
      </c>
      <c r="Q17" s="12">
        <f t="shared" si="2"/>
        <v>14.431486880466466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8"/>
  <sheetViews>
    <sheetView zoomScaleNormal="100" workbookViewId="0">
      <pane ySplit="1" topLeftCell="A2" activePane="bottomLeft" state="frozen"/>
      <selection pane="bottomLeft" activeCell="I3" sqref="I3"/>
    </sheetView>
  </sheetViews>
  <sheetFormatPr baseColWidth="10" defaultColWidth="8.7109375" defaultRowHeight="15" x14ac:dyDescent="0.25"/>
  <cols>
    <col min="1" max="1" width="11" customWidth="1"/>
    <col min="2" max="2" width="8" customWidth="1"/>
    <col min="3" max="3" width="16" customWidth="1"/>
    <col min="4" max="4" width="18" customWidth="1"/>
    <col min="5" max="6" width="14" customWidth="1"/>
    <col min="7" max="7" width="20" customWidth="1"/>
    <col min="8" max="9" width="17" customWidth="1"/>
  </cols>
  <sheetData>
    <row r="1" spans="1:9" ht="31.5" customHeight="1" x14ac:dyDescent="0.25">
      <c r="A1" s="6" t="s">
        <v>0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</row>
    <row r="2" spans="1:9" x14ac:dyDescent="0.25">
      <c r="A2" s="3">
        <v>1</v>
      </c>
      <c r="B2" s="3" t="s">
        <v>38</v>
      </c>
      <c r="C2" s="4">
        <f>COUNTIFS(Detalle!$A$2:$A$687,$A2,Detalle!$C$2:$C$687,$B2)</f>
        <v>1</v>
      </c>
      <c r="D2" s="5">
        <f>AVERAGEIFS(Detalle!$D$2:$D$687,Detalle!$A$2:$A$687,$A2,Detalle!$C$2:$C$687,$B2)</f>
        <v>0.748</v>
      </c>
      <c r="E2" s="5">
        <f>_xlfn.MINIFS(Detalle!$D$2:$D$687,Detalle!$A$2:$A$687,$A2,Detalle!$C$2:$C$687,$B2)</f>
        <v>0.748</v>
      </c>
      <c r="F2" s="5">
        <f>_xlfn.MAXIFS(Detalle!$D$2:$D$687,Detalle!$A$2:$A$687,$A2,Detalle!$C$2:$C$687,$B2)</f>
        <v>0.748</v>
      </c>
      <c r="G2" s="5">
        <f>AVERAGEIFS(Detalle!$F$2:$F$687,Detalle!$A$2:$A$687,$A2,Detalle!$C$2:$C$687,$B2)</f>
        <v>113.026</v>
      </c>
      <c r="H2" s="5">
        <f>_xlfn.MINIFS(Detalle!$F$2:$F$687,Detalle!$A$2:$A$687,$A2,Detalle!$C$2:$C$687,$B2)</f>
        <v>113.026</v>
      </c>
      <c r="I2" s="5">
        <f>_xlfn.MAXIFS(Detalle!$F$2:$F$687,Detalle!$A$2:$A$687,$A2,Detalle!$C$2:$C$687,$B2)</f>
        <v>113.026</v>
      </c>
    </row>
    <row r="3" spans="1:9" x14ac:dyDescent="0.25">
      <c r="A3" s="3">
        <v>1</v>
      </c>
      <c r="B3" s="3" t="s">
        <v>23</v>
      </c>
      <c r="C3" s="4">
        <f>COUNTIFS(Detalle!$A$2:$A$687,$A3,Detalle!$C$2:$C$687,$B3)</f>
        <v>3</v>
      </c>
      <c r="D3" s="5">
        <f>AVERAGEIFS(Detalle!$D$2:$D$687,Detalle!$A$2:$A$687,$A3,Detalle!$C$2:$C$687,$B3)</f>
        <v>0.83799999999999997</v>
      </c>
      <c r="E3" s="5">
        <f>_xlfn.MINIFS(Detalle!$D$2:$D$687,Detalle!$A$2:$A$687,$A3,Detalle!$C$2:$C$687,$B3)</f>
        <v>0.745</v>
      </c>
      <c r="F3" s="5">
        <f>_xlfn.MAXIFS(Detalle!$D$2:$D$687,Detalle!$A$2:$A$687,$A3,Detalle!$C$2:$C$687,$B3)</f>
        <v>0.93200000000000005</v>
      </c>
      <c r="G3" s="5">
        <f>AVERAGEIFS(Detalle!$F$2:$F$687,Detalle!$A$2:$A$687,$A3,Detalle!$C$2:$C$687,$B3)</f>
        <v>123.43400000000001</v>
      </c>
      <c r="H3" s="5">
        <f>_xlfn.MINIFS(Detalle!$F$2:$F$687,Detalle!$A$2:$A$687,$A3,Detalle!$C$2:$C$687,$B3)</f>
        <v>107.976</v>
      </c>
      <c r="I3" s="5">
        <f>_xlfn.MAXIFS(Detalle!$F$2:$F$687,Detalle!$A$2:$A$687,$A3,Detalle!$C$2:$C$687,$B3)</f>
        <v>143.535</v>
      </c>
    </row>
    <row r="4" spans="1:9" x14ac:dyDescent="0.25">
      <c r="A4" s="3">
        <v>1</v>
      </c>
      <c r="B4" s="3" t="s">
        <v>25</v>
      </c>
      <c r="C4" s="4">
        <f>COUNTIFS(Detalle!$A$2:$A$687,$A4,Detalle!$C$2:$C$687,$B4)</f>
        <v>1</v>
      </c>
      <c r="D4" s="5">
        <f>AVERAGEIFS(Detalle!$D$2:$D$687,Detalle!$A$2:$A$687,$A4,Detalle!$C$2:$C$687,$B4)</f>
        <v>0.86799999999999999</v>
      </c>
      <c r="E4" s="5">
        <f>_xlfn.MINIFS(Detalle!$D$2:$D$687,Detalle!$A$2:$A$687,$A4,Detalle!$C$2:$C$687,$B4)</f>
        <v>0.86799999999999999</v>
      </c>
      <c r="F4" s="5">
        <f>_xlfn.MAXIFS(Detalle!$D$2:$D$687,Detalle!$A$2:$A$687,$A4,Detalle!$C$2:$C$687,$B4)</f>
        <v>0.86799999999999999</v>
      </c>
      <c r="G4" s="5">
        <f>AVERAGEIFS(Detalle!$F$2:$F$687,Detalle!$A$2:$A$687,$A4,Detalle!$C$2:$C$687,$B4)</f>
        <v>118.13800000000001</v>
      </c>
      <c r="H4" s="5">
        <f>_xlfn.MINIFS(Detalle!$F$2:$F$687,Detalle!$A$2:$A$687,$A4,Detalle!$C$2:$C$687,$B4)</f>
        <v>118.13800000000001</v>
      </c>
      <c r="I4" s="5">
        <f>_xlfn.MAXIFS(Detalle!$F$2:$F$687,Detalle!$A$2:$A$687,$A4,Detalle!$C$2:$C$687,$B4)</f>
        <v>118.13800000000001</v>
      </c>
    </row>
    <row r="5" spans="1:9" x14ac:dyDescent="0.25">
      <c r="A5" s="3">
        <v>1</v>
      </c>
      <c r="B5" s="3" t="s">
        <v>31</v>
      </c>
      <c r="C5" s="4">
        <f>COUNTIFS(Detalle!$A$2:$A$687,$A5,Detalle!$C$2:$C$687,$B5)</f>
        <v>2</v>
      </c>
      <c r="D5" s="5">
        <f>AVERAGEIFS(Detalle!$D$2:$D$687,Detalle!$A$2:$A$687,$A5,Detalle!$C$2:$C$687,$B5)</f>
        <v>0.95650000000000002</v>
      </c>
      <c r="E5" s="5">
        <f>_xlfn.MINIFS(Detalle!$D$2:$D$687,Detalle!$A$2:$A$687,$A5,Detalle!$C$2:$C$687,$B5)</f>
        <v>0.93100000000000005</v>
      </c>
      <c r="F5" s="5">
        <f>_xlfn.MAXIFS(Detalle!$D$2:$D$687,Detalle!$A$2:$A$687,$A5,Detalle!$C$2:$C$687,$B5)</f>
        <v>0.98199999999999998</v>
      </c>
      <c r="G5" s="5">
        <f>AVERAGEIFS(Detalle!$F$2:$F$687,Detalle!$A$2:$A$687,$A5,Detalle!$C$2:$C$687,$B5)</f>
        <v>87.359000000000009</v>
      </c>
      <c r="H5" s="5">
        <f>_xlfn.MINIFS(Detalle!$F$2:$F$687,Detalle!$A$2:$A$687,$A5,Detalle!$C$2:$C$687,$B5)</f>
        <v>85</v>
      </c>
      <c r="I5" s="5">
        <f>_xlfn.MAXIFS(Detalle!$F$2:$F$687,Detalle!$A$2:$A$687,$A5,Detalle!$C$2:$C$687,$B5)</f>
        <v>89.718000000000004</v>
      </c>
    </row>
    <row r="6" spans="1:9" x14ac:dyDescent="0.25">
      <c r="A6" s="3">
        <v>1</v>
      </c>
      <c r="B6" s="3" t="s">
        <v>29</v>
      </c>
      <c r="C6" s="4">
        <f>COUNTIFS(Detalle!$A$2:$A$687,$A6,Detalle!$C$2:$C$687,$B6)</f>
        <v>2</v>
      </c>
      <c r="D6" s="5">
        <f>AVERAGEIFS(Detalle!$D$2:$D$687,Detalle!$A$2:$A$687,$A6,Detalle!$C$2:$C$687,$B6)</f>
        <v>0.87149999999999994</v>
      </c>
      <c r="E6" s="5">
        <f>_xlfn.MINIFS(Detalle!$D$2:$D$687,Detalle!$A$2:$A$687,$A6,Detalle!$C$2:$C$687,$B6)</f>
        <v>0.83699999999999997</v>
      </c>
      <c r="F6" s="5">
        <f>_xlfn.MAXIFS(Detalle!$D$2:$D$687,Detalle!$A$2:$A$687,$A6,Detalle!$C$2:$C$687,$B6)</f>
        <v>0.90600000000000003</v>
      </c>
      <c r="G6" s="5">
        <f>AVERAGEIFS(Detalle!$F$2:$F$687,Detalle!$A$2:$A$687,$A6,Detalle!$C$2:$C$687,$B6)</f>
        <v>104.63800000000001</v>
      </c>
      <c r="H6" s="5">
        <f>_xlfn.MINIFS(Detalle!$F$2:$F$687,Detalle!$A$2:$A$687,$A6,Detalle!$C$2:$C$687,$B6)</f>
        <v>88.715999999999994</v>
      </c>
      <c r="I6" s="5">
        <f>_xlfn.MAXIFS(Detalle!$F$2:$F$687,Detalle!$A$2:$A$687,$A6,Detalle!$C$2:$C$687,$B6)</f>
        <v>120.56</v>
      </c>
    </row>
    <row r="7" spans="1:9" x14ac:dyDescent="0.25">
      <c r="A7" s="3">
        <v>1</v>
      </c>
      <c r="B7" s="3" t="s">
        <v>22</v>
      </c>
      <c r="C7" s="4">
        <f>COUNTIFS(Detalle!$A$2:$A$687,$A7,Detalle!$C$2:$C$687,$B7)</f>
        <v>1</v>
      </c>
      <c r="D7" s="5">
        <f>AVERAGEIFS(Detalle!$D$2:$D$687,Detalle!$A$2:$A$687,$A7,Detalle!$C$2:$C$687,$B7)</f>
        <v>0.69699999999999995</v>
      </c>
      <c r="E7" s="5">
        <f>_xlfn.MINIFS(Detalle!$D$2:$D$687,Detalle!$A$2:$A$687,$A7,Detalle!$C$2:$C$687,$B7)</f>
        <v>0.69699999999999995</v>
      </c>
      <c r="F7" s="5">
        <f>_xlfn.MAXIFS(Detalle!$D$2:$D$687,Detalle!$A$2:$A$687,$A7,Detalle!$C$2:$C$687,$B7)</f>
        <v>0.69699999999999995</v>
      </c>
      <c r="G7" s="5">
        <f>AVERAGEIFS(Detalle!$F$2:$F$687,Detalle!$A$2:$A$687,$A7,Detalle!$C$2:$C$687,$B7)</f>
        <v>138.804</v>
      </c>
      <c r="H7" s="5">
        <f>_xlfn.MINIFS(Detalle!$F$2:$F$687,Detalle!$A$2:$A$687,$A7,Detalle!$C$2:$C$687,$B7)</f>
        <v>138.804</v>
      </c>
      <c r="I7" s="5">
        <f>_xlfn.MAXIFS(Detalle!$F$2:$F$687,Detalle!$A$2:$A$687,$A7,Detalle!$C$2:$C$687,$B7)</f>
        <v>138.804</v>
      </c>
    </row>
    <row r="8" spans="1:9" x14ac:dyDescent="0.25">
      <c r="A8" s="3">
        <v>1</v>
      </c>
      <c r="B8" s="3" t="s">
        <v>26</v>
      </c>
      <c r="C8" s="4">
        <f>COUNTIFS(Detalle!$A$2:$A$687,$A8,Detalle!$C$2:$C$687,$B8)</f>
        <v>1</v>
      </c>
      <c r="D8" s="5">
        <f>AVERAGEIFS(Detalle!$D$2:$D$687,Detalle!$A$2:$A$687,$A8,Detalle!$C$2:$C$687,$B8)</f>
        <v>0.88600000000000001</v>
      </c>
      <c r="E8" s="5">
        <f>_xlfn.MINIFS(Detalle!$D$2:$D$687,Detalle!$A$2:$A$687,$A8,Detalle!$C$2:$C$687,$B8)</f>
        <v>0.88600000000000001</v>
      </c>
      <c r="F8" s="5">
        <f>_xlfn.MAXIFS(Detalle!$D$2:$D$687,Detalle!$A$2:$A$687,$A8,Detalle!$C$2:$C$687,$B8)</f>
        <v>0.88600000000000001</v>
      </c>
      <c r="G8" s="5">
        <f>AVERAGEIFS(Detalle!$F$2:$F$687,Detalle!$A$2:$A$687,$A8,Detalle!$C$2:$C$687,$B8)</f>
        <v>119.482</v>
      </c>
      <c r="H8" s="5">
        <f>_xlfn.MINIFS(Detalle!$F$2:$F$687,Detalle!$A$2:$A$687,$A8,Detalle!$C$2:$C$687,$B8)</f>
        <v>119.482</v>
      </c>
      <c r="I8" s="5">
        <f>_xlfn.MAXIFS(Detalle!$F$2:$F$687,Detalle!$A$2:$A$687,$A8,Detalle!$C$2:$C$687,$B8)</f>
        <v>119.482</v>
      </c>
    </row>
    <row r="9" spans="1:9" x14ac:dyDescent="0.25">
      <c r="A9" s="3">
        <v>1</v>
      </c>
      <c r="B9" s="3" t="s">
        <v>33</v>
      </c>
      <c r="C9" s="4">
        <f>COUNTIFS(Detalle!$A$2:$A$687,$A9,Detalle!$C$2:$C$687,$B9)</f>
        <v>3</v>
      </c>
      <c r="D9" s="5">
        <f>AVERAGEIFS(Detalle!$D$2:$D$687,Detalle!$A$2:$A$687,$A9,Detalle!$C$2:$C$687,$B9)</f>
        <v>0.8846666666666666</v>
      </c>
      <c r="E9" s="5">
        <f>_xlfn.MINIFS(Detalle!$D$2:$D$687,Detalle!$A$2:$A$687,$A9,Detalle!$C$2:$C$687,$B9)</f>
        <v>0.85899999999999999</v>
      </c>
      <c r="F9" s="5">
        <f>_xlfn.MAXIFS(Detalle!$D$2:$D$687,Detalle!$A$2:$A$687,$A9,Detalle!$C$2:$C$687,$B9)</f>
        <v>0.90900000000000003</v>
      </c>
      <c r="G9" s="5">
        <f>AVERAGEIFS(Detalle!$F$2:$F$687,Detalle!$A$2:$A$687,$A9,Detalle!$C$2:$C$687,$B9)</f>
        <v>117.06700000000001</v>
      </c>
      <c r="H9" s="5">
        <f>_xlfn.MINIFS(Detalle!$F$2:$F$687,Detalle!$A$2:$A$687,$A9,Detalle!$C$2:$C$687,$B9)</f>
        <v>110.227</v>
      </c>
      <c r="I9" s="5">
        <f>_xlfn.MAXIFS(Detalle!$F$2:$F$687,Detalle!$A$2:$A$687,$A9,Detalle!$C$2:$C$687,$B9)</f>
        <v>122.569</v>
      </c>
    </row>
    <row r="10" spans="1:9" x14ac:dyDescent="0.25">
      <c r="A10" s="3">
        <v>1</v>
      </c>
      <c r="B10" s="3" t="s">
        <v>30</v>
      </c>
      <c r="C10" s="4">
        <f>COUNTIFS(Detalle!$A$2:$A$687,$A10,Detalle!$C$2:$C$687,$B10)</f>
        <v>4</v>
      </c>
      <c r="D10" s="5">
        <f>AVERAGEIFS(Detalle!$D$2:$D$687,Detalle!$A$2:$A$687,$A10,Detalle!$C$2:$C$687,$B10)</f>
        <v>0.82224999999999993</v>
      </c>
      <c r="E10" s="5">
        <f>_xlfn.MINIFS(Detalle!$D$2:$D$687,Detalle!$A$2:$A$687,$A10,Detalle!$C$2:$C$687,$B10)</f>
        <v>0.73299999999999998</v>
      </c>
      <c r="F10" s="5">
        <f>_xlfn.MAXIFS(Detalle!$D$2:$D$687,Detalle!$A$2:$A$687,$A10,Detalle!$C$2:$C$687,$B10)</f>
        <v>0.90900000000000003</v>
      </c>
      <c r="G10" s="5">
        <f>AVERAGEIFS(Detalle!$F$2:$F$687,Detalle!$A$2:$A$687,$A10,Detalle!$C$2:$C$687,$B10)</f>
        <v>110.45474999999999</v>
      </c>
      <c r="H10" s="5">
        <f>_xlfn.MINIFS(Detalle!$F$2:$F$687,Detalle!$A$2:$A$687,$A10,Detalle!$C$2:$C$687,$B10)</f>
        <v>97.322999999999993</v>
      </c>
      <c r="I10" s="5">
        <f>_xlfn.MAXIFS(Detalle!$F$2:$F$687,Detalle!$A$2:$A$687,$A10,Detalle!$C$2:$C$687,$B10)</f>
        <v>129.00299999999999</v>
      </c>
    </row>
    <row r="11" spans="1:9" x14ac:dyDescent="0.25">
      <c r="A11" s="3">
        <v>1</v>
      </c>
      <c r="B11" s="3" t="s">
        <v>27</v>
      </c>
      <c r="C11" s="4">
        <f>COUNTIFS(Detalle!$A$2:$A$687,$A11,Detalle!$C$2:$C$687,$B11)</f>
        <v>3</v>
      </c>
      <c r="D11" s="5">
        <f>AVERAGEIFS(Detalle!$D$2:$D$687,Detalle!$A$2:$A$687,$A11,Detalle!$C$2:$C$687,$B11)</f>
        <v>0.84533333333333338</v>
      </c>
      <c r="E11" s="5">
        <f>_xlfn.MINIFS(Detalle!$D$2:$D$687,Detalle!$A$2:$A$687,$A11,Detalle!$C$2:$C$687,$B11)</f>
        <v>0.76600000000000001</v>
      </c>
      <c r="F11" s="5">
        <f>_xlfn.MAXIFS(Detalle!$D$2:$D$687,Detalle!$A$2:$A$687,$A11,Detalle!$C$2:$C$687,$B11)</f>
        <v>0.91200000000000003</v>
      </c>
      <c r="G11" s="5">
        <f>AVERAGEIFS(Detalle!$F$2:$F$687,Detalle!$A$2:$A$687,$A11,Detalle!$C$2:$C$687,$B11)</f>
        <v>131.57766666666666</v>
      </c>
      <c r="H11" s="5">
        <f>_xlfn.MINIFS(Detalle!$F$2:$F$687,Detalle!$A$2:$A$687,$A11,Detalle!$C$2:$C$687,$B11)</f>
        <v>127.22799999999999</v>
      </c>
      <c r="I11" s="5">
        <f>_xlfn.MAXIFS(Detalle!$F$2:$F$687,Detalle!$A$2:$A$687,$A11,Detalle!$C$2:$C$687,$B11)</f>
        <v>134.81100000000001</v>
      </c>
    </row>
    <row r="12" spans="1:9" x14ac:dyDescent="0.25">
      <c r="A12" s="3">
        <v>1</v>
      </c>
      <c r="B12" s="3" t="s">
        <v>32</v>
      </c>
      <c r="C12" s="4">
        <f>COUNTIFS(Detalle!$A$2:$A$687,$A12,Detalle!$C$2:$C$687,$B12)</f>
        <v>1</v>
      </c>
      <c r="D12" s="5">
        <f>AVERAGEIFS(Detalle!$D$2:$D$687,Detalle!$A$2:$A$687,$A12,Detalle!$C$2:$C$687,$B12)</f>
        <v>0.90800000000000003</v>
      </c>
      <c r="E12" s="5">
        <f>_xlfn.MINIFS(Detalle!$D$2:$D$687,Detalle!$A$2:$A$687,$A12,Detalle!$C$2:$C$687,$B12)</f>
        <v>0.90800000000000003</v>
      </c>
      <c r="F12" s="5">
        <f>_xlfn.MAXIFS(Detalle!$D$2:$D$687,Detalle!$A$2:$A$687,$A12,Detalle!$C$2:$C$687,$B12)</f>
        <v>0.90800000000000003</v>
      </c>
      <c r="G12" s="5">
        <f>AVERAGEIFS(Detalle!$F$2:$F$687,Detalle!$A$2:$A$687,$A12,Detalle!$C$2:$C$687,$B12)</f>
        <v>116.417</v>
      </c>
      <c r="H12" s="5">
        <f>_xlfn.MINIFS(Detalle!$F$2:$F$687,Detalle!$A$2:$A$687,$A12,Detalle!$C$2:$C$687,$B12)</f>
        <v>116.417</v>
      </c>
      <c r="I12" s="5">
        <f>_xlfn.MAXIFS(Detalle!$F$2:$F$687,Detalle!$A$2:$A$687,$A12,Detalle!$C$2:$C$687,$B12)</f>
        <v>116.417</v>
      </c>
    </row>
    <row r="13" spans="1:9" x14ac:dyDescent="0.25">
      <c r="A13" s="3">
        <v>1</v>
      </c>
      <c r="B13" s="3" t="s">
        <v>24</v>
      </c>
      <c r="C13" s="4">
        <f>COUNTIFS(Detalle!$A$2:$A$687,$A13,Detalle!$C$2:$C$687,$B13)</f>
        <v>2</v>
      </c>
      <c r="D13" s="5">
        <f>AVERAGEIFS(Detalle!$D$2:$D$687,Detalle!$A$2:$A$687,$A13,Detalle!$C$2:$C$687,$B13)</f>
        <v>0.81950000000000001</v>
      </c>
      <c r="E13" s="5">
        <f>_xlfn.MINIFS(Detalle!$D$2:$D$687,Detalle!$A$2:$A$687,$A13,Detalle!$C$2:$C$687,$B13)</f>
        <v>0.80900000000000005</v>
      </c>
      <c r="F13" s="5">
        <f>_xlfn.MAXIFS(Detalle!$D$2:$D$687,Detalle!$A$2:$A$687,$A13,Detalle!$C$2:$C$687,$B13)</f>
        <v>0.83</v>
      </c>
      <c r="G13" s="5">
        <f>AVERAGEIFS(Detalle!$F$2:$F$687,Detalle!$A$2:$A$687,$A13,Detalle!$C$2:$C$687,$B13)</f>
        <v>125.9635</v>
      </c>
      <c r="H13" s="5">
        <f>_xlfn.MINIFS(Detalle!$F$2:$F$687,Detalle!$A$2:$A$687,$A13,Detalle!$C$2:$C$687,$B13)</f>
        <v>117.91</v>
      </c>
      <c r="I13" s="5">
        <f>_xlfn.MAXIFS(Detalle!$F$2:$F$687,Detalle!$A$2:$A$687,$A13,Detalle!$C$2:$C$687,$B13)</f>
        <v>134.017</v>
      </c>
    </row>
    <row r="14" spans="1:9" x14ac:dyDescent="0.25">
      <c r="A14" s="3">
        <v>1</v>
      </c>
      <c r="B14" s="3" t="s">
        <v>19</v>
      </c>
      <c r="C14" s="4">
        <f>COUNTIFS(Detalle!$A$2:$A$687,$A14,Detalle!$C$2:$C$687,$B14)</f>
        <v>4</v>
      </c>
      <c r="D14" s="5">
        <f>AVERAGEIFS(Detalle!$D$2:$D$687,Detalle!$A$2:$A$687,$A14,Detalle!$C$2:$C$687,$B14)</f>
        <v>0.86825000000000008</v>
      </c>
      <c r="E14" s="5">
        <f>_xlfn.MINIFS(Detalle!$D$2:$D$687,Detalle!$A$2:$A$687,$A14,Detalle!$C$2:$C$687,$B14)</f>
        <v>0.80200000000000005</v>
      </c>
      <c r="F14" s="5">
        <f>_xlfn.MAXIFS(Detalle!$D$2:$D$687,Detalle!$A$2:$A$687,$A14,Detalle!$C$2:$C$687,$B14)</f>
        <v>0.92400000000000004</v>
      </c>
      <c r="G14" s="5">
        <f>AVERAGEIFS(Detalle!$F$2:$F$687,Detalle!$A$2:$A$687,$A14,Detalle!$C$2:$C$687,$B14)</f>
        <v>108.95650000000001</v>
      </c>
      <c r="H14" s="5">
        <f>_xlfn.MINIFS(Detalle!$F$2:$F$687,Detalle!$A$2:$A$687,$A14,Detalle!$C$2:$C$687,$B14)</f>
        <v>85</v>
      </c>
      <c r="I14" s="5">
        <f>_xlfn.MAXIFS(Detalle!$F$2:$F$687,Detalle!$A$2:$A$687,$A14,Detalle!$C$2:$C$687,$B14)</f>
        <v>126.372</v>
      </c>
    </row>
    <row r="15" spans="1:9" x14ac:dyDescent="0.25">
      <c r="A15" s="3">
        <v>1</v>
      </c>
      <c r="B15" s="3" t="s">
        <v>11</v>
      </c>
      <c r="C15" s="4">
        <f>COUNTIFS(Detalle!$A$2:$A$687,$A15,Detalle!$C$2:$C$687,$B15)</f>
        <v>2</v>
      </c>
      <c r="D15" s="5">
        <f>AVERAGEIFS(Detalle!$D$2:$D$687,Detalle!$A$2:$A$687,$A15,Detalle!$C$2:$C$687,$B15)</f>
        <v>0.85949999999999993</v>
      </c>
      <c r="E15" s="5">
        <f>_xlfn.MINIFS(Detalle!$D$2:$D$687,Detalle!$A$2:$A$687,$A15,Detalle!$C$2:$C$687,$B15)</f>
        <v>0.84</v>
      </c>
      <c r="F15" s="5">
        <f>_xlfn.MAXIFS(Detalle!$D$2:$D$687,Detalle!$A$2:$A$687,$A15,Detalle!$C$2:$C$687,$B15)</f>
        <v>0.879</v>
      </c>
      <c r="G15" s="5">
        <f>AVERAGEIFS(Detalle!$F$2:$F$687,Detalle!$A$2:$A$687,$A15,Detalle!$C$2:$C$687,$B15)</f>
        <v>134.59200000000001</v>
      </c>
      <c r="H15" s="5">
        <f>_xlfn.MINIFS(Detalle!$F$2:$F$687,Detalle!$A$2:$A$687,$A15,Detalle!$C$2:$C$687,$B15)</f>
        <v>123.80200000000001</v>
      </c>
      <c r="I15" s="5">
        <f>_xlfn.MAXIFS(Detalle!$F$2:$F$687,Detalle!$A$2:$A$687,$A15,Detalle!$C$2:$C$687,$B15)</f>
        <v>145.38200000000001</v>
      </c>
    </row>
    <row r="16" spans="1:9" x14ac:dyDescent="0.25">
      <c r="A16" s="3">
        <v>1</v>
      </c>
      <c r="B16" s="3" t="s">
        <v>36</v>
      </c>
      <c r="C16" s="4">
        <f>COUNTIFS(Detalle!$A$2:$A$687,$A16,Detalle!$C$2:$C$687,$B16)</f>
        <v>1</v>
      </c>
      <c r="D16" s="5">
        <f>AVERAGEIFS(Detalle!$D$2:$D$687,Detalle!$A$2:$A$687,$A16,Detalle!$C$2:$C$687,$B16)</f>
        <v>0.92200000000000004</v>
      </c>
      <c r="E16" s="5">
        <f>_xlfn.MINIFS(Detalle!$D$2:$D$687,Detalle!$A$2:$A$687,$A16,Detalle!$C$2:$C$687,$B16)</f>
        <v>0.92200000000000004</v>
      </c>
      <c r="F16" s="5">
        <f>_xlfn.MAXIFS(Detalle!$D$2:$D$687,Detalle!$A$2:$A$687,$A16,Detalle!$C$2:$C$687,$B16)</f>
        <v>0.92200000000000004</v>
      </c>
      <c r="G16" s="5">
        <f>AVERAGEIFS(Detalle!$F$2:$F$687,Detalle!$A$2:$A$687,$A16,Detalle!$C$2:$C$687,$B16)</f>
        <v>94.284000000000006</v>
      </c>
      <c r="H16" s="5">
        <f>_xlfn.MINIFS(Detalle!$F$2:$F$687,Detalle!$A$2:$A$687,$A16,Detalle!$C$2:$C$687,$B16)</f>
        <v>94.284000000000006</v>
      </c>
      <c r="I16" s="5">
        <f>_xlfn.MAXIFS(Detalle!$F$2:$F$687,Detalle!$A$2:$A$687,$A16,Detalle!$C$2:$C$687,$B16)</f>
        <v>94.284000000000006</v>
      </c>
    </row>
    <row r="17" spans="1:9" x14ac:dyDescent="0.25">
      <c r="A17" s="3">
        <v>1</v>
      </c>
      <c r="B17" s="3" t="s">
        <v>15</v>
      </c>
      <c r="C17" s="4">
        <f>COUNTIFS(Detalle!$A$2:$A$687,$A17,Detalle!$C$2:$C$687,$B17)</f>
        <v>1</v>
      </c>
      <c r="D17" s="5">
        <f>AVERAGEIFS(Detalle!$D$2:$D$687,Detalle!$A$2:$A$687,$A17,Detalle!$C$2:$C$687,$B17)</f>
        <v>0.93400000000000005</v>
      </c>
      <c r="E17" s="5">
        <f>_xlfn.MINIFS(Detalle!$D$2:$D$687,Detalle!$A$2:$A$687,$A17,Detalle!$C$2:$C$687,$B17)</f>
        <v>0.93400000000000005</v>
      </c>
      <c r="F17" s="5">
        <f>_xlfn.MAXIFS(Detalle!$D$2:$D$687,Detalle!$A$2:$A$687,$A17,Detalle!$C$2:$C$687,$B17)</f>
        <v>0.93400000000000005</v>
      </c>
      <c r="G17" s="5">
        <f>AVERAGEIFS(Detalle!$F$2:$F$687,Detalle!$A$2:$A$687,$A17,Detalle!$C$2:$C$687,$B17)</f>
        <v>98.796000000000006</v>
      </c>
      <c r="H17" s="5">
        <f>_xlfn.MINIFS(Detalle!$F$2:$F$687,Detalle!$A$2:$A$687,$A17,Detalle!$C$2:$C$687,$B17)</f>
        <v>98.796000000000006</v>
      </c>
      <c r="I17" s="5">
        <f>_xlfn.MAXIFS(Detalle!$F$2:$F$687,Detalle!$A$2:$A$687,$A17,Detalle!$C$2:$C$687,$B17)</f>
        <v>98.796000000000006</v>
      </c>
    </row>
    <row r="18" spans="1:9" x14ac:dyDescent="0.25">
      <c r="A18" s="3">
        <v>1</v>
      </c>
      <c r="B18" s="3" t="s">
        <v>18</v>
      </c>
      <c r="C18" s="4">
        <f>COUNTIFS(Detalle!$A$2:$A$687,$A18,Detalle!$C$2:$C$687,$B18)</f>
        <v>3</v>
      </c>
      <c r="D18" s="5">
        <f>AVERAGEIFS(Detalle!$D$2:$D$687,Detalle!$A$2:$A$687,$A18,Detalle!$C$2:$C$687,$B18)</f>
        <v>0.83733333333333337</v>
      </c>
      <c r="E18" s="5">
        <f>_xlfn.MINIFS(Detalle!$D$2:$D$687,Detalle!$A$2:$A$687,$A18,Detalle!$C$2:$C$687,$B18)</f>
        <v>0.77700000000000002</v>
      </c>
      <c r="F18" s="5">
        <f>_xlfn.MAXIFS(Detalle!$D$2:$D$687,Detalle!$A$2:$A$687,$A18,Detalle!$C$2:$C$687,$B18)</f>
        <v>0.95399999999999996</v>
      </c>
      <c r="G18" s="5">
        <f>AVERAGEIFS(Detalle!$F$2:$F$687,Detalle!$A$2:$A$687,$A18,Detalle!$C$2:$C$687,$B18)</f>
        <v>97.274333333333331</v>
      </c>
      <c r="H18" s="5">
        <f>_xlfn.MINIFS(Detalle!$F$2:$F$687,Detalle!$A$2:$A$687,$A18,Detalle!$C$2:$C$687,$B18)</f>
        <v>86.222999999999999</v>
      </c>
      <c r="I18" s="5">
        <f>_xlfn.MAXIFS(Detalle!$F$2:$F$687,Detalle!$A$2:$A$687,$A18,Detalle!$C$2:$C$687,$B18)</f>
        <v>103.158</v>
      </c>
    </row>
    <row r="19" spans="1:9" x14ac:dyDescent="0.25">
      <c r="A19" s="3">
        <v>1</v>
      </c>
      <c r="B19" s="3" t="s">
        <v>35</v>
      </c>
      <c r="C19" s="4">
        <f>COUNTIFS(Detalle!$A$2:$A$687,$A19,Detalle!$C$2:$C$687,$B19)</f>
        <v>1</v>
      </c>
      <c r="D19" s="5">
        <f>AVERAGEIFS(Detalle!$D$2:$D$687,Detalle!$A$2:$A$687,$A19,Detalle!$C$2:$C$687,$B19)</f>
        <v>0.89100000000000001</v>
      </c>
      <c r="E19" s="5">
        <f>_xlfn.MINIFS(Detalle!$D$2:$D$687,Detalle!$A$2:$A$687,$A19,Detalle!$C$2:$C$687,$B19)</f>
        <v>0.89100000000000001</v>
      </c>
      <c r="F19" s="5">
        <f>_xlfn.MAXIFS(Detalle!$D$2:$D$687,Detalle!$A$2:$A$687,$A19,Detalle!$C$2:$C$687,$B19)</f>
        <v>0.89100000000000001</v>
      </c>
      <c r="G19" s="5">
        <f>AVERAGEIFS(Detalle!$F$2:$F$687,Detalle!$A$2:$A$687,$A19,Detalle!$C$2:$C$687,$B19)</f>
        <v>112.009</v>
      </c>
      <c r="H19" s="5">
        <f>_xlfn.MINIFS(Detalle!$F$2:$F$687,Detalle!$A$2:$A$687,$A19,Detalle!$C$2:$C$687,$B19)</f>
        <v>112.009</v>
      </c>
      <c r="I19" s="5">
        <f>_xlfn.MAXIFS(Detalle!$F$2:$F$687,Detalle!$A$2:$A$687,$A19,Detalle!$C$2:$C$687,$B19)</f>
        <v>112.009</v>
      </c>
    </row>
    <row r="20" spans="1:9" x14ac:dyDescent="0.25">
      <c r="A20" s="3">
        <v>1</v>
      </c>
      <c r="B20" s="3" t="s">
        <v>17</v>
      </c>
      <c r="C20" s="4">
        <f>COUNTIFS(Detalle!$A$2:$A$687,$A20,Detalle!$C$2:$C$687,$B20)</f>
        <v>2</v>
      </c>
      <c r="D20" s="5">
        <f>AVERAGEIFS(Detalle!$D$2:$D$687,Detalle!$A$2:$A$687,$A20,Detalle!$C$2:$C$687,$B20)</f>
        <v>0.84799999999999998</v>
      </c>
      <c r="E20" s="5">
        <f>_xlfn.MINIFS(Detalle!$D$2:$D$687,Detalle!$A$2:$A$687,$A20,Detalle!$C$2:$C$687,$B20)</f>
        <v>0.82499999999999996</v>
      </c>
      <c r="F20" s="5">
        <f>_xlfn.MAXIFS(Detalle!$D$2:$D$687,Detalle!$A$2:$A$687,$A20,Detalle!$C$2:$C$687,$B20)</f>
        <v>0.871</v>
      </c>
      <c r="G20" s="5">
        <f>AVERAGEIFS(Detalle!$F$2:$F$687,Detalle!$A$2:$A$687,$A20,Detalle!$C$2:$C$687,$B20)</f>
        <v>117.15100000000001</v>
      </c>
      <c r="H20" s="5">
        <f>_xlfn.MINIFS(Detalle!$F$2:$F$687,Detalle!$A$2:$A$687,$A20,Detalle!$C$2:$C$687,$B20)</f>
        <v>116.129</v>
      </c>
      <c r="I20" s="5">
        <f>_xlfn.MAXIFS(Detalle!$F$2:$F$687,Detalle!$A$2:$A$687,$A20,Detalle!$C$2:$C$687,$B20)</f>
        <v>118.173</v>
      </c>
    </row>
    <row r="21" spans="1:9" x14ac:dyDescent="0.25">
      <c r="A21" s="3">
        <v>1</v>
      </c>
      <c r="B21" s="3" t="s">
        <v>34</v>
      </c>
      <c r="C21" s="4">
        <f>COUNTIFS(Detalle!$A$2:$A$687,$A21,Detalle!$C$2:$C$687,$B21)</f>
        <v>1</v>
      </c>
      <c r="D21" s="5">
        <f>AVERAGEIFS(Detalle!$D$2:$D$687,Detalle!$A$2:$A$687,$A21,Detalle!$C$2:$C$687,$B21)</f>
        <v>0.85299999999999998</v>
      </c>
      <c r="E21" s="5">
        <f>_xlfn.MINIFS(Detalle!$D$2:$D$687,Detalle!$A$2:$A$687,$A21,Detalle!$C$2:$C$687,$B21)</f>
        <v>0.85299999999999998</v>
      </c>
      <c r="F21" s="5">
        <f>_xlfn.MAXIFS(Detalle!$D$2:$D$687,Detalle!$A$2:$A$687,$A21,Detalle!$C$2:$C$687,$B21)</f>
        <v>0.85299999999999998</v>
      </c>
      <c r="G21" s="5">
        <f>AVERAGEIFS(Detalle!$F$2:$F$687,Detalle!$A$2:$A$687,$A21,Detalle!$C$2:$C$687,$B21)</f>
        <v>97.078999999999994</v>
      </c>
      <c r="H21" s="5">
        <f>_xlfn.MINIFS(Detalle!$F$2:$F$687,Detalle!$A$2:$A$687,$A21,Detalle!$C$2:$C$687,$B21)</f>
        <v>97.078999999999994</v>
      </c>
      <c r="I21" s="5">
        <f>_xlfn.MAXIFS(Detalle!$F$2:$F$687,Detalle!$A$2:$A$687,$A21,Detalle!$C$2:$C$687,$B21)</f>
        <v>97.078999999999994</v>
      </c>
    </row>
    <row r="22" spans="1:9" x14ac:dyDescent="0.25">
      <c r="A22" s="3">
        <v>1</v>
      </c>
      <c r="B22" s="3" t="s">
        <v>16</v>
      </c>
      <c r="C22" s="4">
        <f>COUNTIFS(Detalle!$A$2:$A$687,$A22,Detalle!$C$2:$C$687,$B22)</f>
        <v>4</v>
      </c>
      <c r="D22" s="5">
        <f>AVERAGEIFS(Detalle!$D$2:$D$687,Detalle!$A$2:$A$687,$A22,Detalle!$C$2:$C$687,$B22)</f>
        <v>0.88500000000000001</v>
      </c>
      <c r="E22" s="5">
        <f>_xlfn.MINIFS(Detalle!$D$2:$D$687,Detalle!$A$2:$A$687,$A22,Detalle!$C$2:$C$687,$B22)</f>
        <v>0.84199999999999997</v>
      </c>
      <c r="F22" s="5">
        <f>_xlfn.MAXIFS(Detalle!$D$2:$D$687,Detalle!$A$2:$A$687,$A22,Detalle!$C$2:$C$687,$B22)</f>
        <v>0.95299999999999996</v>
      </c>
      <c r="G22" s="5">
        <f>AVERAGEIFS(Detalle!$F$2:$F$687,Detalle!$A$2:$A$687,$A22,Detalle!$C$2:$C$687,$B22)</f>
        <v>119.9</v>
      </c>
      <c r="H22" s="5">
        <f>_xlfn.MINIFS(Detalle!$F$2:$F$687,Detalle!$A$2:$A$687,$A22,Detalle!$C$2:$C$687,$B22)</f>
        <v>102.839</v>
      </c>
      <c r="I22" s="5">
        <f>_xlfn.MAXIFS(Detalle!$F$2:$F$687,Detalle!$A$2:$A$687,$A22,Detalle!$C$2:$C$687,$B22)</f>
        <v>141.25899999999999</v>
      </c>
    </row>
    <row r="23" spans="1:9" x14ac:dyDescent="0.25">
      <c r="A23" s="3">
        <v>1</v>
      </c>
      <c r="B23" s="3" t="s">
        <v>13</v>
      </c>
      <c r="C23" s="4">
        <f>COUNTIFS(Detalle!$A$2:$A$687,$A23,Detalle!$C$2:$C$687,$B23)</f>
        <v>1</v>
      </c>
      <c r="D23" s="5">
        <f>AVERAGEIFS(Detalle!$D$2:$D$687,Detalle!$A$2:$A$687,$A23,Detalle!$C$2:$C$687,$B23)</f>
        <v>0.88600000000000001</v>
      </c>
      <c r="E23" s="5">
        <f>_xlfn.MINIFS(Detalle!$D$2:$D$687,Detalle!$A$2:$A$687,$A23,Detalle!$C$2:$C$687,$B23)</f>
        <v>0.88600000000000001</v>
      </c>
      <c r="F23" s="5">
        <f>_xlfn.MAXIFS(Detalle!$D$2:$D$687,Detalle!$A$2:$A$687,$A23,Detalle!$C$2:$C$687,$B23)</f>
        <v>0.88600000000000001</v>
      </c>
      <c r="G23" s="5">
        <f>AVERAGEIFS(Detalle!$F$2:$F$687,Detalle!$A$2:$A$687,$A23,Detalle!$C$2:$C$687,$B23)</f>
        <v>100.536</v>
      </c>
      <c r="H23" s="5">
        <f>_xlfn.MINIFS(Detalle!$F$2:$F$687,Detalle!$A$2:$A$687,$A23,Detalle!$C$2:$C$687,$B23)</f>
        <v>100.536</v>
      </c>
      <c r="I23" s="5">
        <f>_xlfn.MAXIFS(Detalle!$F$2:$F$687,Detalle!$A$2:$A$687,$A23,Detalle!$C$2:$C$687,$B23)</f>
        <v>100.536</v>
      </c>
    </row>
    <row r="24" spans="1:9" x14ac:dyDescent="0.25">
      <c r="A24" s="3">
        <v>1</v>
      </c>
      <c r="B24" s="3" t="s">
        <v>37</v>
      </c>
      <c r="C24" s="4">
        <f>COUNTIFS(Detalle!$A$2:$A$687,$A24,Detalle!$C$2:$C$687,$B24)</f>
        <v>1</v>
      </c>
      <c r="D24" s="5">
        <f>AVERAGEIFS(Detalle!$D$2:$D$687,Detalle!$A$2:$A$687,$A24,Detalle!$C$2:$C$687,$B24)</f>
        <v>0.86199999999999999</v>
      </c>
      <c r="E24" s="5">
        <f>_xlfn.MINIFS(Detalle!$D$2:$D$687,Detalle!$A$2:$A$687,$A24,Detalle!$C$2:$C$687,$B24)</f>
        <v>0.86199999999999999</v>
      </c>
      <c r="F24" s="5">
        <f>_xlfn.MAXIFS(Detalle!$D$2:$D$687,Detalle!$A$2:$A$687,$A24,Detalle!$C$2:$C$687,$B24)</f>
        <v>0.86199999999999999</v>
      </c>
      <c r="G24" s="5">
        <f>AVERAGEIFS(Detalle!$F$2:$F$687,Detalle!$A$2:$A$687,$A24,Detalle!$C$2:$C$687,$B24)</f>
        <v>109.79600000000001</v>
      </c>
      <c r="H24" s="5">
        <f>_xlfn.MINIFS(Detalle!$F$2:$F$687,Detalle!$A$2:$A$687,$A24,Detalle!$C$2:$C$687,$B24)</f>
        <v>109.79600000000001</v>
      </c>
      <c r="I24" s="5">
        <f>_xlfn.MAXIFS(Detalle!$F$2:$F$687,Detalle!$A$2:$A$687,$A24,Detalle!$C$2:$C$687,$B24)</f>
        <v>109.79600000000001</v>
      </c>
    </row>
    <row r="25" spans="1:9" x14ac:dyDescent="0.25">
      <c r="A25" s="3">
        <v>1</v>
      </c>
      <c r="B25" s="3" t="s">
        <v>21</v>
      </c>
      <c r="C25" s="4">
        <f>COUNTIFS(Detalle!$A$2:$A$687,$A25,Detalle!$C$2:$C$687,$B25)</f>
        <v>2</v>
      </c>
      <c r="D25" s="5">
        <f>AVERAGEIFS(Detalle!$D$2:$D$687,Detalle!$A$2:$A$687,$A25,Detalle!$C$2:$C$687,$B25)</f>
        <v>0.88</v>
      </c>
      <c r="E25" s="5">
        <f>_xlfn.MINIFS(Detalle!$D$2:$D$687,Detalle!$A$2:$A$687,$A25,Detalle!$C$2:$C$687,$B25)</f>
        <v>0.85799999999999998</v>
      </c>
      <c r="F25" s="5">
        <f>_xlfn.MAXIFS(Detalle!$D$2:$D$687,Detalle!$A$2:$A$687,$A25,Detalle!$C$2:$C$687,$B25)</f>
        <v>0.90200000000000002</v>
      </c>
      <c r="G25" s="5">
        <f>AVERAGEIFS(Detalle!$F$2:$F$687,Detalle!$A$2:$A$687,$A25,Detalle!$C$2:$C$687,$B25)</f>
        <v>109.14099999999999</v>
      </c>
      <c r="H25" s="5">
        <f>_xlfn.MINIFS(Detalle!$F$2:$F$687,Detalle!$A$2:$A$687,$A25,Detalle!$C$2:$C$687,$B25)</f>
        <v>93.364999999999995</v>
      </c>
      <c r="I25" s="5">
        <f>_xlfn.MAXIFS(Detalle!$F$2:$F$687,Detalle!$A$2:$A$687,$A25,Detalle!$C$2:$C$687,$B25)</f>
        <v>124.917</v>
      </c>
    </row>
    <row r="26" spans="1:9" x14ac:dyDescent="0.25">
      <c r="A26" s="3">
        <v>1</v>
      </c>
      <c r="B26" s="3" t="s">
        <v>20</v>
      </c>
      <c r="C26" s="4">
        <f>COUNTIFS(Detalle!$A$2:$A$687,$A26,Detalle!$C$2:$C$687,$B26)</f>
        <v>2</v>
      </c>
      <c r="D26" s="5">
        <f>AVERAGEIFS(Detalle!$D$2:$D$687,Detalle!$A$2:$A$687,$A26,Detalle!$C$2:$C$687,$B26)</f>
        <v>0.81299999999999994</v>
      </c>
      <c r="E26" s="5">
        <f>_xlfn.MINIFS(Detalle!$D$2:$D$687,Detalle!$A$2:$A$687,$A26,Detalle!$C$2:$C$687,$B26)</f>
        <v>0.77500000000000002</v>
      </c>
      <c r="F26" s="5">
        <f>_xlfn.MAXIFS(Detalle!$D$2:$D$687,Detalle!$A$2:$A$687,$A26,Detalle!$C$2:$C$687,$B26)</f>
        <v>0.85099999999999998</v>
      </c>
      <c r="G26" s="5">
        <f>AVERAGEIFS(Detalle!$F$2:$F$687,Detalle!$A$2:$A$687,$A26,Detalle!$C$2:$C$687,$B26)</f>
        <v>152.63749999999999</v>
      </c>
      <c r="H26" s="5">
        <f>_xlfn.MINIFS(Detalle!$F$2:$F$687,Detalle!$A$2:$A$687,$A26,Detalle!$C$2:$C$687,$B26)</f>
        <v>151.93199999999999</v>
      </c>
      <c r="I26" s="5">
        <f>_xlfn.MAXIFS(Detalle!$F$2:$F$687,Detalle!$A$2:$A$687,$A26,Detalle!$C$2:$C$687,$B26)</f>
        <v>153.34299999999999</v>
      </c>
    </row>
    <row r="27" spans="1:9" x14ac:dyDescent="0.25">
      <c r="A27" s="3">
        <v>2</v>
      </c>
      <c r="B27" s="3" t="s">
        <v>38</v>
      </c>
      <c r="C27" s="4">
        <f>COUNTIFS(Detalle!$A$2:$A$687,$A27,Detalle!$C$2:$C$687,$B27)</f>
        <v>4</v>
      </c>
      <c r="D27" s="5">
        <f>AVERAGEIFS(Detalle!$D$2:$D$687,Detalle!$A$2:$A$687,$A27,Detalle!$C$2:$C$687,$B27)</f>
        <v>0.92649999999999999</v>
      </c>
      <c r="E27" s="5">
        <f>_xlfn.MINIFS(Detalle!$D$2:$D$687,Detalle!$A$2:$A$687,$A27,Detalle!$C$2:$C$687,$B27)</f>
        <v>0.876</v>
      </c>
      <c r="F27" s="5">
        <f>_xlfn.MAXIFS(Detalle!$D$2:$D$687,Detalle!$A$2:$A$687,$A27,Detalle!$C$2:$C$687,$B27)</f>
        <v>0.97799999999999998</v>
      </c>
      <c r="G27" s="5">
        <f>AVERAGEIFS(Detalle!$F$2:$F$687,Detalle!$A$2:$A$687,$A27,Detalle!$C$2:$C$687,$B27)</f>
        <v>113.50225</v>
      </c>
      <c r="H27" s="5">
        <f>_xlfn.MINIFS(Detalle!$F$2:$F$687,Detalle!$A$2:$A$687,$A27,Detalle!$C$2:$C$687,$B27)</f>
        <v>107.515</v>
      </c>
      <c r="I27" s="5">
        <f>_xlfn.MAXIFS(Detalle!$F$2:$F$687,Detalle!$A$2:$A$687,$A27,Detalle!$C$2:$C$687,$B27)</f>
        <v>120.663</v>
      </c>
    </row>
    <row r="28" spans="1:9" x14ac:dyDescent="0.25">
      <c r="A28" s="3">
        <v>2</v>
      </c>
      <c r="B28" s="3" t="s">
        <v>23</v>
      </c>
      <c r="C28" s="4">
        <f>COUNTIFS(Detalle!$A$2:$A$687,$A28,Detalle!$C$2:$C$687,$B28)</f>
        <v>2</v>
      </c>
      <c r="D28" s="5">
        <f>AVERAGEIFS(Detalle!$D$2:$D$687,Detalle!$A$2:$A$687,$A28,Detalle!$C$2:$C$687,$B28)</f>
        <v>0.92700000000000005</v>
      </c>
      <c r="E28" s="5">
        <f>_xlfn.MINIFS(Detalle!$D$2:$D$687,Detalle!$A$2:$A$687,$A28,Detalle!$C$2:$C$687,$B28)</f>
        <v>0.89500000000000002</v>
      </c>
      <c r="F28" s="5">
        <f>_xlfn.MAXIFS(Detalle!$D$2:$D$687,Detalle!$A$2:$A$687,$A28,Detalle!$C$2:$C$687,$B28)</f>
        <v>0.95899999999999996</v>
      </c>
      <c r="G28" s="5">
        <f>AVERAGEIFS(Detalle!$F$2:$F$687,Detalle!$A$2:$A$687,$A28,Detalle!$C$2:$C$687,$B28)</f>
        <v>98.459499999999991</v>
      </c>
      <c r="H28" s="5">
        <f>_xlfn.MINIFS(Detalle!$F$2:$F$687,Detalle!$A$2:$A$687,$A28,Detalle!$C$2:$C$687,$B28)</f>
        <v>87.950999999999993</v>
      </c>
      <c r="I28" s="5">
        <f>_xlfn.MAXIFS(Detalle!$F$2:$F$687,Detalle!$A$2:$A$687,$A28,Detalle!$C$2:$C$687,$B28)</f>
        <v>108.968</v>
      </c>
    </row>
    <row r="29" spans="1:9" x14ac:dyDescent="0.25">
      <c r="A29" s="3">
        <v>2</v>
      </c>
      <c r="B29" s="3" t="s">
        <v>25</v>
      </c>
      <c r="C29" s="4">
        <f>COUNTIFS(Detalle!$A$2:$A$687,$A29,Detalle!$C$2:$C$687,$B29)</f>
        <v>1</v>
      </c>
      <c r="D29" s="5">
        <f>AVERAGEIFS(Detalle!$D$2:$D$687,Detalle!$A$2:$A$687,$A29,Detalle!$C$2:$C$687,$B29)</f>
        <v>0.98</v>
      </c>
      <c r="E29" s="5">
        <f>_xlfn.MINIFS(Detalle!$D$2:$D$687,Detalle!$A$2:$A$687,$A29,Detalle!$C$2:$C$687,$B29)</f>
        <v>0.98</v>
      </c>
      <c r="F29" s="5">
        <f>_xlfn.MAXIFS(Detalle!$D$2:$D$687,Detalle!$A$2:$A$687,$A29,Detalle!$C$2:$C$687,$B29)</f>
        <v>0.98</v>
      </c>
      <c r="G29" s="5">
        <f>AVERAGEIFS(Detalle!$F$2:$F$687,Detalle!$A$2:$A$687,$A29,Detalle!$C$2:$C$687,$B29)</f>
        <v>121.798</v>
      </c>
      <c r="H29" s="5">
        <f>_xlfn.MINIFS(Detalle!$F$2:$F$687,Detalle!$A$2:$A$687,$A29,Detalle!$C$2:$C$687,$B29)</f>
        <v>121.798</v>
      </c>
      <c r="I29" s="5">
        <f>_xlfn.MAXIFS(Detalle!$F$2:$F$687,Detalle!$A$2:$A$687,$A29,Detalle!$C$2:$C$687,$B29)</f>
        <v>121.798</v>
      </c>
    </row>
    <row r="30" spans="1:9" x14ac:dyDescent="0.25">
      <c r="A30" s="3">
        <v>2</v>
      </c>
      <c r="B30" s="3" t="s">
        <v>31</v>
      </c>
      <c r="C30" s="4">
        <f>COUNTIFS(Detalle!$A$2:$A$687,$A30,Detalle!$C$2:$C$687,$B30)</f>
        <v>2</v>
      </c>
      <c r="D30" s="5">
        <f>AVERAGEIFS(Detalle!$D$2:$D$687,Detalle!$A$2:$A$687,$A30,Detalle!$C$2:$C$687,$B30)</f>
        <v>0.91</v>
      </c>
      <c r="E30" s="5">
        <f>_xlfn.MINIFS(Detalle!$D$2:$D$687,Detalle!$A$2:$A$687,$A30,Detalle!$C$2:$C$687,$B30)</f>
        <v>0.88600000000000001</v>
      </c>
      <c r="F30" s="5">
        <f>_xlfn.MAXIFS(Detalle!$D$2:$D$687,Detalle!$A$2:$A$687,$A30,Detalle!$C$2:$C$687,$B30)</f>
        <v>0.93400000000000005</v>
      </c>
      <c r="G30" s="5">
        <f>AVERAGEIFS(Detalle!$F$2:$F$687,Detalle!$A$2:$A$687,$A30,Detalle!$C$2:$C$687,$B30)</f>
        <v>117.508</v>
      </c>
      <c r="H30" s="5">
        <f>_xlfn.MINIFS(Detalle!$F$2:$F$687,Detalle!$A$2:$A$687,$A30,Detalle!$C$2:$C$687,$B30)</f>
        <v>107.85599999999999</v>
      </c>
      <c r="I30" s="5">
        <f>_xlfn.MAXIFS(Detalle!$F$2:$F$687,Detalle!$A$2:$A$687,$A30,Detalle!$C$2:$C$687,$B30)</f>
        <v>127.16</v>
      </c>
    </row>
    <row r="31" spans="1:9" x14ac:dyDescent="0.25">
      <c r="A31" s="3">
        <v>2</v>
      </c>
      <c r="B31" s="3" t="s">
        <v>29</v>
      </c>
      <c r="C31" s="4">
        <f>COUNTIFS(Detalle!$A$2:$A$687,$A31,Detalle!$C$2:$C$687,$B31)</f>
        <v>1</v>
      </c>
      <c r="D31" s="5">
        <f>AVERAGEIFS(Detalle!$D$2:$D$687,Detalle!$A$2:$A$687,$A31,Detalle!$C$2:$C$687,$B31)</f>
        <v>0.96499999999999997</v>
      </c>
      <c r="E31" s="5">
        <f>_xlfn.MINIFS(Detalle!$D$2:$D$687,Detalle!$A$2:$A$687,$A31,Detalle!$C$2:$C$687,$B31)</f>
        <v>0.96499999999999997</v>
      </c>
      <c r="F31" s="5">
        <f>_xlfn.MAXIFS(Detalle!$D$2:$D$687,Detalle!$A$2:$A$687,$A31,Detalle!$C$2:$C$687,$B31)</f>
        <v>0.96499999999999997</v>
      </c>
      <c r="G31" s="5">
        <f>AVERAGEIFS(Detalle!$F$2:$F$687,Detalle!$A$2:$A$687,$A31,Detalle!$C$2:$C$687,$B31)</f>
        <v>146.40100000000001</v>
      </c>
      <c r="H31" s="5">
        <f>_xlfn.MINIFS(Detalle!$F$2:$F$687,Detalle!$A$2:$A$687,$A31,Detalle!$C$2:$C$687,$B31)</f>
        <v>146.40100000000001</v>
      </c>
      <c r="I31" s="5">
        <f>_xlfn.MAXIFS(Detalle!$F$2:$F$687,Detalle!$A$2:$A$687,$A31,Detalle!$C$2:$C$687,$B31)</f>
        <v>146.40100000000001</v>
      </c>
    </row>
    <row r="32" spans="1:9" x14ac:dyDescent="0.25">
      <c r="A32" s="3">
        <v>2</v>
      </c>
      <c r="B32" s="3" t="s">
        <v>22</v>
      </c>
      <c r="C32" s="4">
        <f>COUNTIFS(Detalle!$A$2:$A$687,$A32,Detalle!$C$2:$C$687,$B32)</f>
        <v>3</v>
      </c>
      <c r="D32" s="5">
        <f>AVERAGEIFS(Detalle!$D$2:$D$687,Detalle!$A$2:$A$687,$A32,Detalle!$C$2:$C$687,$B32)</f>
        <v>0.85499999999999998</v>
      </c>
      <c r="E32" s="5">
        <f>_xlfn.MINIFS(Detalle!$D$2:$D$687,Detalle!$A$2:$A$687,$A32,Detalle!$C$2:$C$687,$B32)</f>
        <v>0.83599999999999997</v>
      </c>
      <c r="F32" s="5">
        <f>_xlfn.MAXIFS(Detalle!$D$2:$D$687,Detalle!$A$2:$A$687,$A32,Detalle!$C$2:$C$687,$B32)</f>
        <v>0.876</v>
      </c>
      <c r="G32" s="5">
        <f>AVERAGEIFS(Detalle!$F$2:$F$687,Detalle!$A$2:$A$687,$A32,Detalle!$C$2:$C$687,$B32)</f>
        <v>106.233</v>
      </c>
      <c r="H32" s="5">
        <f>_xlfn.MINIFS(Detalle!$F$2:$F$687,Detalle!$A$2:$A$687,$A32,Detalle!$C$2:$C$687,$B32)</f>
        <v>85</v>
      </c>
      <c r="I32" s="5">
        <f>_xlfn.MAXIFS(Detalle!$F$2:$F$687,Detalle!$A$2:$A$687,$A32,Detalle!$C$2:$C$687,$B32)</f>
        <v>132.63800000000001</v>
      </c>
    </row>
    <row r="33" spans="1:9" x14ac:dyDescent="0.25">
      <c r="A33" s="3">
        <v>2</v>
      </c>
      <c r="B33" s="3" t="s">
        <v>26</v>
      </c>
      <c r="C33" s="4">
        <f>COUNTIFS(Detalle!$A$2:$A$687,$A33,Detalle!$C$2:$C$687,$B33)</f>
        <v>1</v>
      </c>
      <c r="D33" s="5">
        <f>AVERAGEIFS(Detalle!$D$2:$D$687,Detalle!$A$2:$A$687,$A33,Detalle!$C$2:$C$687,$B33)</f>
        <v>0.93400000000000005</v>
      </c>
      <c r="E33" s="5">
        <f>_xlfn.MINIFS(Detalle!$D$2:$D$687,Detalle!$A$2:$A$687,$A33,Detalle!$C$2:$C$687,$B33)</f>
        <v>0.93400000000000005</v>
      </c>
      <c r="F33" s="5">
        <f>_xlfn.MAXIFS(Detalle!$D$2:$D$687,Detalle!$A$2:$A$687,$A33,Detalle!$C$2:$C$687,$B33)</f>
        <v>0.93400000000000005</v>
      </c>
      <c r="G33" s="5">
        <f>AVERAGEIFS(Detalle!$F$2:$F$687,Detalle!$A$2:$A$687,$A33,Detalle!$C$2:$C$687,$B33)</f>
        <v>94.399000000000001</v>
      </c>
      <c r="H33" s="5">
        <f>_xlfn.MINIFS(Detalle!$F$2:$F$687,Detalle!$A$2:$A$687,$A33,Detalle!$C$2:$C$687,$B33)</f>
        <v>94.399000000000001</v>
      </c>
      <c r="I33" s="5">
        <f>_xlfn.MAXIFS(Detalle!$F$2:$F$687,Detalle!$A$2:$A$687,$A33,Detalle!$C$2:$C$687,$B33)</f>
        <v>94.399000000000001</v>
      </c>
    </row>
    <row r="34" spans="1:9" x14ac:dyDescent="0.25">
      <c r="A34" s="3">
        <v>2</v>
      </c>
      <c r="B34" s="3" t="s">
        <v>30</v>
      </c>
      <c r="C34" s="4">
        <f>COUNTIFS(Detalle!$A$2:$A$687,$A34,Detalle!$C$2:$C$687,$B34)</f>
        <v>3</v>
      </c>
      <c r="D34" s="5">
        <f>AVERAGEIFS(Detalle!$D$2:$D$687,Detalle!$A$2:$A$687,$A34,Detalle!$C$2:$C$687,$B34)</f>
        <v>0.90399999999999991</v>
      </c>
      <c r="E34" s="5">
        <f>_xlfn.MINIFS(Detalle!$D$2:$D$687,Detalle!$A$2:$A$687,$A34,Detalle!$C$2:$C$687,$B34)</f>
        <v>0.83099999999999996</v>
      </c>
      <c r="F34" s="5">
        <f>_xlfn.MAXIFS(Detalle!$D$2:$D$687,Detalle!$A$2:$A$687,$A34,Detalle!$C$2:$C$687,$B34)</f>
        <v>0.99</v>
      </c>
      <c r="G34" s="5">
        <f>AVERAGEIFS(Detalle!$F$2:$F$687,Detalle!$A$2:$A$687,$A34,Detalle!$C$2:$C$687,$B34)</f>
        <v>120.54266666666668</v>
      </c>
      <c r="H34" s="5">
        <f>_xlfn.MINIFS(Detalle!$F$2:$F$687,Detalle!$A$2:$A$687,$A34,Detalle!$C$2:$C$687,$B34)</f>
        <v>92.388000000000005</v>
      </c>
      <c r="I34" s="5">
        <f>_xlfn.MAXIFS(Detalle!$F$2:$F$687,Detalle!$A$2:$A$687,$A34,Detalle!$C$2:$C$687,$B34)</f>
        <v>165.19200000000001</v>
      </c>
    </row>
    <row r="35" spans="1:9" x14ac:dyDescent="0.25">
      <c r="A35" s="3">
        <v>2</v>
      </c>
      <c r="B35" s="3" t="s">
        <v>27</v>
      </c>
      <c r="C35" s="4">
        <f>COUNTIFS(Detalle!$A$2:$A$687,$A35,Detalle!$C$2:$C$687,$B35)</f>
        <v>1</v>
      </c>
      <c r="D35" s="5">
        <f>AVERAGEIFS(Detalle!$D$2:$D$687,Detalle!$A$2:$A$687,$A35,Detalle!$C$2:$C$687,$B35)</f>
        <v>0.85099999999999998</v>
      </c>
      <c r="E35" s="5">
        <f>_xlfn.MINIFS(Detalle!$D$2:$D$687,Detalle!$A$2:$A$687,$A35,Detalle!$C$2:$C$687,$B35)</f>
        <v>0.85099999999999998</v>
      </c>
      <c r="F35" s="5">
        <f>_xlfn.MAXIFS(Detalle!$D$2:$D$687,Detalle!$A$2:$A$687,$A35,Detalle!$C$2:$C$687,$B35)</f>
        <v>0.85099999999999998</v>
      </c>
      <c r="G35" s="5">
        <f>AVERAGEIFS(Detalle!$F$2:$F$687,Detalle!$A$2:$A$687,$A35,Detalle!$C$2:$C$687,$B35)</f>
        <v>98.501000000000005</v>
      </c>
      <c r="H35" s="5">
        <f>_xlfn.MINIFS(Detalle!$F$2:$F$687,Detalle!$A$2:$A$687,$A35,Detalle!$C$2:$C$687,$B35)</f>
        <v>98.501000000000005</v>
      </c>
      <c r="I35" s="5">
        <f>_xlfn.MAXIFS(Detalle!$F$2:$F$687,Detalle!$A$2:$A$687,$A35,Detalle!$C$2:$C$687,$B35)</f>
        <v>98.501000000000005</v>
      </c>
    </row>
    <row r="36" spans="1:9" x14ac:dyDescent="0.25">
      <c r="A36" s="3">
        <v>2</v>
      </c>
      <c r="B36" s="3" t="s">
        <v>32</v>
      </c>
      <c r="C36" s="4">
        <f>COUNTIFS(Detalle!$A$2:$A$687,$A36,Detalle!$C$2:$C$687,$B36)</f>
        <v>2</v>
      </c>
      <c r="D36" s="5">
        <f>AVERAGEIFS(Detalle!$D$2:$D$687,Detalle!$A$2:$A$687,$A36,Detalle!$C$2:$C$687,$B36)</f>
        <v>0.84199999999999997</v>
      </c>
      <c r="E36" s="5">
        <f>_xlfn.MINIFS(Detalle!$D$2:$D$687,Detalle!$A$2:$A$687,$A36,Detalle!$C$2:$C$687,$B36)</f>
        <v>0.84099999999999997</v>
      </c>
      <c r="F36" s="5">
        <f>_xlfn.MAXIFS(Detalle!$D$2:$D$687,Detalle!$A$2:$A$687,$A36,Detalle!$C$2:$C$687,$B36)</f>
        <v>0.84299999999999997</v>
      </c>
      <c r="G36" s="5">
        <f>AVERAGEIFS(Detalle!$F$2:$F$687,Detalle!$A$2:$A$687,$A36,Detalle!$C$2:$C$687,$B36)</f>
        <v>122.98099999999999</v>
      </c>
      <c r="H36" s="5">
        <f>_xlfn.MINIFS(Detalle!$F$2:$F$687,Detalle!$A$2:$A$687,$A36,Detalle!$C$2:$C$687,$B36)</f>
        <v>100.55200000000001</v>
      </c>
      <c r="I36" s="5">
        <f>_xlfn.MAXIFS(Detalle!$F$2:$F$687,Detalle!$A$2:$A$687,$A36,Detalle!$C$2:$C$687,$B36)</f>
        <v>145.41</v>
      </c>
    </row>
    <row r="37" spans="1:9" x14ac:dyDescent="0.25">
      <c r="A37" s="3">
        <v>2</v>
      </c>
      <c r="B37" s="3" t="s">
        <v>24</v>
      </c>
      <c r="C37" s="4">
        <f>COUNTIFS(Detalle!$A$2:$A$687,$A37,Detalle!$C$2:$C$687,$B37)</f>
        <v>1</v>
      </c>
      <c r="D37" s="5">
        <f>AVERAGEIFS(Detalle!$D$2:$D$687,Detalle!$A$2:$A$687,$A37,Detalle!$C$2:$C$687,$B37)</f>
        <v>0.95699999999999996</v>
      </c>
      <c r="E37" s="5">
        <f>_xlfn.MINIFS(Detalle!$D$2:$D$687,Detalle!$A$2:$A$687,$A37,Detalle!$C$2:$C$687,$B37)</f>
        <v>0.95699999999999996</v>
      </c>
      <c r="F37" s="5">
        <f>_xlfn.MAXIFS(Detalle!$D$2:$D$687,Detalle!$A$2:$A$687,$A37,Detalle!$C$2:$C$687,$B37)</f>
        <v>0.95699999999999996</v>
      </c>
      <c r="G37" s="5">
        <f>AVERAGEIFS(Detalle!$F$2:$F$687,Detalle!$A$2:$A$687,$A37,Detalle!$C$2:$C$687,$B37)</f>
        <v>123.425</v>
      </c>
      <c r="H37" s="5">
        <f>_xlfn.MINIFS(Detalle!$F$2:$F$687,Detalle!$A$2:$A$687,$A37,Detalle!$C$2:$C$687,$B37)</f>
        <v>123.425</v>
      </c>
      <c r="I37" s="5">
        <f>_xlfn.MAXIFS(Detalle!$F$2:$F$687,Detalle!$A$2:$A$687,$A37,Detalle!$C$2:$C$687,$B37)</f>
        <v>123.425</v>
      </c>
    </row>
    <row r="38" spans="1:9" x14ac:dyDescent="0.25">
      <c r="A38" s="3">
        <v>2</v>
      </c>
      <c r="B38" s="3" t="s">
        <v>39</v>
      </c>
      <c r="C38" s="4">
        <f>COUNTIFS(Detalle!$A$2:$A$687,$A38,Detalle!$C$2:$C$687,$B38)</f>
        <v>2</v>
      </c>
      <c r="D38" s="5">
        <f>AVERAGEIFS(Detalle!$D$2:$D$687,Detalle!$A$2:$A$687,$A38,Detalle!$C$2:$C$687,$B38)</f>
        <v>0.82550000000000001</v>
      </c>
      <c r="E38" s="5">
        <f>_xlfn.MINIFS(Detalle!$D$2:$D$687,Detalle!$A$2:$A$687,$A38,Detalle!$C$2:$C$687,$B38)</f>
        <v>0.72299999999999998</v>
      </c>
      <c r="F38" s="5">
        <f>_xlfn.MAXIFS(Detalle!$D$2:$D$687,Detalle!$A$2:$A$687,$A38,Detalle!$C$2:$C$687,$B38)</f>
        <v>0.92800000000000005</v>
      </c>
      <c r="G38" s="5">
        <f>AVERAGEIFS(Detalle!$F$2:$F$687,Detalle!$A$2:$A$687,$A38,Detalle!$C$2:$C$687,$B38)</f>
        <v>122.309</v>
      </c>
      <c r="H38" s="5">
        <f>_xlfn.MINIFS(Detalle!$F$2:$F$687,Detalle!$A$2:$A$687,$A38,Detalle!$C$2:$C$687,$B38)</f>
        <v>98.346000000000004</v>
      </c>
      <c r="I38" s="5">
        <f>_xlfn.MAXIFS(Detalle!$F$2:$F$687,Detalle!$A$2:$A$687,$A38,Detalle!$C$2:$C$687,$B38)</f>
        <v>146.27199999999999</v>
      </c>
    </row>
    <row r="39" spans="1:9" x14ac:dyDescent="0.25">
      <c r="A39" s="3">
        <v>2</v>
      </c>
      <c r="B39" s="3" t="s">
        <v>19</v>
      </c>
      <c r="C39" s="4">
        <f>COUNTIFS(Detalle!$A$2:$A$687,$A39,Detalle!$C$2:$C$687,$B39)</f>
        <v>1</v>
      </c>
      <c r="D39" s="5">
        <f>AVERAGEIFS(Detalle!$D$2:$D$687,Detalle!$A$2:$A$687,$A39,Detalle!$C$2:$C$687,$B39)</f>
        <v>0.86699999999999999</v>
      </c>
      <c r="E39" s="5">
        <f>_xlfn.MINIFS(Detalle!$D$2:$D$687,Detalle!$A$2:$A$687,$A39,Detalle!$C$2:$C$687,$B39)</f>
        <v>0.86699999999999999</v>
      </c>
      <c r="F39" s="5">
        <f>_xlfn.MAXIFS(Detalle!$D$2:$D$687,Detalle!$A$2:$A$687,$A39,Detalle!$C$2:$C$687,$B39)</f>
        <v>0.86699999999999999</v>
      </c>
      <c r="G39" s="5">
        <f>AVERAGEIFS(Detalle!$F$2:$F$687,Detalle!$A$2:$A$687,$A39,Detalle!$C$2:$C$687,$B39)</f>
        <v>111.595</v>
      </c>
      <c r="H39" s="5">
        <f>_xlfn.MINIFS(Detalle!$F$2:$F$687,Detalle!$A$2:$A$687,$A39,Detalle!$C$2:$C$687,$B39)</f>
        <v>111.595</v>
      </c>
      <c r="I39" s="5">
        <f>_xlfn.MAXIFS(Detalle!$F$2:$F$687,Detalle!$A$2:$A$687,$A39,Detalle!$C$2:$C$687,$B39)</f>
        <v>111.595</v>
      </c>
    </row>
    <row r="40" spans="1:9" x14ac:dyDescent="0.25">
      <c r="A40" s="3">
        <v>2</v>
      </c>
      <c r="B40" s="3" t="s">
        <v>11</v>
      </c>
      <c r="C40" s="4">
        <f>COUNTIFS(Detalle!$A$2:$A$687,$A40,Detalle!$C$2:$C$687,$B40)</f>
        <v>1</v>
      </c>
      <c r="D40" s="5">
        <f>AVERAGEIFS(Detalle!$D$2:$D$687,Detalle!$A$2:$A$687,$A40,Detalle!$C$2:$C$687,$B40)</f>
        <v>0.99</v>
      </c>
      <c r="E40" s="5">
        <f>_xlfn.MINIFS(Detalle!$D$2:$D$687,Detalle!$A$2:$A$687,$A40,Detalle!$C$2:$C$687,$B40)</f>
        <v>0.99</v>
      </c>
      <c r="F40" s="5">
        <f>_xlfn.MAXIFS(Detalle!$D$2:$D$687,Detalle!$A$2:$A$687,$A40,Detalle!$C$2:$C$687,$B40)</f>
        <v>0.99</v>
      </c>
      <c r="G40" s="5">
        <f>AVERAGEIFS(Detalle!$F$2:$F$687,Detalle!$A$2:$A$687,$A40,Detalle!$C$2:$C$687,$B40)</f>
        <v>142.71799999999999</v>
      </c>
      <c r="H40" s="5">
        <f>_xlfn.MINIFS(Detalle!$F$2:$F$687,Detalle!$A$2:$A$687,$A40,Detalle!$C$2:$C$687,$B40)</f>
        <v>142.71799999999999</v>
      </c>
      <c r="I40" s="5">
        <f>_xlfn.MAXIFS(Detalle!$F$2:$F$687,Detalle!$A$2:$A$687,$A40,Detalle!$C$2:$C$687,$B40)</f>
        <v>142.71799999999999</v>
      </c>
    </row>
    <row r="41" spans="1:9" x14ac:dyDescent="0.25">
      <c r="A41" s="3">
        <v>2</v>
      </c>
      <c r="B41" s="3" t="s">
        <v>36</v>
      </c>
      <c r="C41" s="4">
        <f>COUNTIFS(Detalle!$A$2:$A$687,$A41,Detalle!$C$2:$C$687,$B41)</f>
        <v>3</v>
      </c>
      <c r="D41" s="5">
        <f>AVERAGEIFS(Detalle!$D$2:$D$687,Detalle!$A$2:$A$687,$A41,Detalle!$C$2:$C$687,$B41)</f>
        <v>0.89200000000000002</v>
      </c>
      <c r="E41" s="5">
        <f>_xlfn.MINIFS(Detalle!$D$2:$D$687,Detalle!$A$2:$A$687,$A41,Detalle!$C$2:$C$687,$B41)</f>
        <v>0.85699999999999998</v>
      </c>
      <c r="F41" s="5">
        <f>_xlfn.MAXIFS(Detalle!$D$2:$D$687,Detalle!$A$2:$A$687,$A41,Detalle!$C$2:$C$687,$B41)</f>
        <v>0.93200000000000005</v>
      </c>
      <c r="G41" s="5">
        <f>AVERAGEIFS(Detalle!$F$2:$F$687,Detalle!$A$2:$A$687,$A41,Detalle!$C$2:$C$687,$B41)</f>
        <v>129.11933333333332</v>
      </c>
      <c r="H41" s="5">
        <f>_xlfn.MINIFS(Detalle!$F$2:$F$687,Detalle!$A$2:$A$687,$A41,Detalle!$C$2:$C$687,$B41)</f>
        <v>101.97799999999999</v>
      </c>
      <c r="I41" s="5">
        <f>_xlfn.MAXIFS(Detalle!$F$2:$F$687,Detalle!$A$2:$A$687,$A41,Detalle!$C$2:$C$687,$B41)</f>
        <v>146.047</v>
      </c>
    </row>
    <row r="42" spans="1:9" x14ac:dyDescent="0.25">
      <c r="A42" s="3">
        <v>2</v>
      </c>
      <c r="B42" s="3" t="s">
        <v>15</v>
      </c>
      <c r="C42" s="4">
        <f>COUNTIFS(Detalle!$A$2:$A$687,$A42,Detalle!$C$2:$C$687,$B42)</f>
        <v>1</v>
      </c>
      <c r="D42" s="5">
        <f>AVERAGEIFS(Detalle!$D$2:$D$687,Detalle!$A$2:$A$687,$A42,Detalle!$C$2:$C$687,$B42)</f>
        <v>0.88300000000000001</v>
      </c>
      <c r="E42" s="5">
        <f>_xlfn.MINIFS(Detalle!$D$2:$D$687,Detalle!$A$2:$A$687,$A42,Detalle!$C$2:$C$687,$B42)</f>
        <v>0.88300000000000001</v>
      </c>
      <c r="F42" s="5">
        <f>_xlfn.MAXIFS(Detalle!$D$2:$D$687,Detalle!$A$2:$A$687,$A42,Detalle!$C$2:$C$687,$B42)</f>
        <v>0.88300000000000001</v>
      </c>
      <c r="G42" s="5">
        <f>AVERAGEIFS(Detalle!$F$2:$F$687,Detalle!$A$2:$A$687,$A42,Detalle!$C$2:$C$687,$B42)</f>
        <v>126.548</v>
      </c>
      <c r="H42" s="5">
        <f>_xlfn.MINIFS(Detalle!$F$2:$F$687,Detalle!$A$2:$A$687,$A42,Detalle!$C$2:$C$687,$B42)</f>
        <v>126.548</v>
      </c>
      <c r="I42" s="5">
        <f>_xlfn.MAXIFS(Detalle!$F$2:$F$687,Detalle!$A$2:$A$687,$A42,Detalle!$C$2:$C$687,$B42)</f>
        <v>126.548</v>
      </c>
    </row>
    <row r="43" spans="1:9" x14ac:dyDescent="0.25">
      <c r="A43" s="3">
        <v>2</v>
      </c>
      <c r="B43" s="3" t="s">
        <v>18</v>
      </c>
      <c r="C43" s="4">
        <f>COUNTIFS(Detalle!$A$2:$A$687,$A43,Detalle!$C$2:$C$687,$B43)</f>
        <v>2</v>
      </c>
      <c r="D43" s="5">
        <f>AVERAGEIFS(Detalle!$D$2:$D$687,Detalle!$A$2:$A$687,$A43,Detalle!$C$2:$C$687,$B43)</f>
        <v>0.89399999999999991</v>
      </c>
      <c r="E43" s="5">
        <f>_xlfn.MINIFS(Detalle!$D$2:$D$687,Detalle!$A$2:$A$687,$A43,Detalle!$C$2:$C$687,$B43)</f>
        <v>0.82099999999999995</v>
      </c>
      <c r="F43" s="5">
        <f>_xlfn.MAXIFS(Detalle!$D$2:$D$687,Detalle!$A$2:$A$687,$A43,Detalle!$C$2:$C$687,$B43)</f>
        <v>0.96699999999999997</v>
      </c>
      <c r="G43" s="5">
        <f>AVERAGEIFS(Detalle!$F$2:$F$687,Detalle!$A$2:$A$687,$A43,Detalle!$C$2:$C$687,$B43)</f>
        <v>112.21350000000001</v>
      </c>
      <c r="H43" s="5">
        <f>_xlfn.MINIFS(Detalle!$F$2:$F$687,Detalle!$A$2:$A$687,$A43,Detalle!$C$2:$C$687,$B43)</f>
        <v>100.53100000000001</v>
      </c>
      <c r="I43" s="5">
        <f>_xlfn.MAXIFS(Detalle!$F$2:$F$687,Detalle!$A$2:$A$687,$A43,Detalle!$C$2:$C$687,$B43)</f>
        <v>123.896</v>
      </c>
    </row>
    <row r="44" spans="1:9" x14ac:dyDescent="0.25">
      <c r="A44" s="3">
        <v>2</v>
      </c>
      <c r="B44" s="3" t="s">
        <v>35</v>
      </c>
      <c r="C44" s="4">
        <f>COUNTIFS(Detalle!$A$2:$A$687,$A44,Detalle!$C$2:$C$687,$B44)</f>
        <v>1</v>
      </c>
      <c r="D44" s="5">
        <f>AVERAGEIFS(Detalle!$D$2:$D$687,Detalle!$A$2:$A$687,$A44,Detalle!$C$2:$C$687,$B44)</f>
        <v>0.94499999999999995</v>
      </c>
      <c r="E44" s="5">
        <f>_xlfn.MINIFS(Detalle!$D$2:$D$687,Detalle!$A$2:$A$687,$A44,Detalle!$C$2:$C$687,$B44)</f>
        <v>0.94499999999999995</v>
      </c>
      <c r="F44" s="5">
        <f>_xlfn.MAXIFS(Detalle!$D$2:$D$687,Detalle!$A$2:$A$687,$A44,Detalle!$C$2:$C$687,$B44)</f>
        <v>0.94499999999999995</v>
      </c>
      <c r="G44" s="5">
        <f>AVERAGEIFS(Detalle!$F$2:$F$687,Detalle!$A$2:$A$687,$A44,Detalle!$C$2:$C$687,$B44)</f>
        <v>107.206</v>
      </c>
      <c r="H44" s="5">
        <f>_xlfn.MINIFS(Detalle!$F$2:$F$687,Detalle!$A$2:$A$687,$A44,Detalle!$C$2:$C$687,$B44)</f>
        <v>107.206</v>
      </c>
      <c r="I44" s="5">
        <f>_xlfn.MAXIFS(Detalle!$F$2:$F$687,Detalle!$A$2:$A$687,$A44,Detalle!$C$2:$C$687,$B44)</f>
        <v>107.206</v>
      </c>
    </row>
    <row r="45" spans="1:9" x14ac:dyDescent="0.25">
      <c r="A45" s="3">
        <v>2</v>
      </c>
      <c r="B45" s="3" t="s">
        <v>34</v>
      </c>
      <c r="C45" s="4">
        <f>COUNTIFS(Detalle!$A$2:$A$687,$A45,Detalle!$C$2:$C$687,$B45)</f>
        <v>3</v>
      </c>
      <c r="D45" s="5">
        <f>AVERAGEIFS(Detalle!$D$2:$D$687,Detalle!$A$2:$A$687,$A45,Detalle!$C$2:$C$687,$B45)</f>
        <v>0.87566666666666659</v>
      </c>
      <c r="E45" s="5">
        <f>_xlfn.MINIFS(Detalle!$D$2:$D$687,Detalle!$A$2:$A$687,$A45,Detalle!$C$2:$C$687,$B45)</f>
        <v>0.76200000000000001</v>
      </c>
      <c r="F45" s="5">
        <f>_xlfn.MAXIFS(Detalle!$D$2:$D$687,Detalle!$A$2:$A$687,$A45,Detalle!$C$2:$C$687,$B45)</f>
        <v>0.97399999999999998</v>
      </c>
      <c r="G45" s="5">
        <f>AVERAGEIFS(Detalle!$F$2:$F$687,Detalle!$A$2:$A$687,$A45,Detalle!$C$2:$C$687,$B45)</f>
        <v>101.35466666666667</v>
      </c>
      <c r="H45" s="5">
        <f>_xlfn.MINIFS(Detalle!$F$2:$F$687,Detalle!$A$2:$A$687,$A45,Detalle!$C$2:$C$687,$B45)</f>
        <v>87.134</v>
      </c>
      <c r="I45" s="5">
        <f>_xlfn.MAXIFS(Detalle!$F$2:$F$687,Detalle!$A$2:$A$687,$A45,Detalle!$C$2:$C$687,$B45)</f>
        <v>112.441</v>
      </c>
    </row>
    <row r="46" spans="1:9" x14ac:dyDescent="0.25">
      <c r="A46" s="3">
        <v>2</v>
      </c>
      <c r="B46" s="3" t="s">
        <v>16</v>
      </c>
      <c r="C46" s="4">
        <f>COUNTIFS(Detalle!$A$2:$A$687,$A46,Detalle!$C$2:$C$687,$B46)</f>
        <v>2</v>
      </c>
      <c r="D46" s="5">
        <f>AVERAGEIFS(Detalle!$D$2:$D$687,Detalle!$A$2:$A$687,$A46,Detalle!$C$2:$C$687,$B46)</f>
        <v>0.9</v>
      </c>
      <c r="E46" s="5">
        <f>_xlfn.MINIFS(Detalle!$D$2:$D$687,Detalle!$A$2:$A$687,$A46,Detalle!$C$2:$C$687,$B46)</f>
        <v>0.89900000000000002</v>
      </c>
      <c r="F46" s="5">
        <f>_xlfn.MAXIFS(Detalle!$D$2:$D$687,Detalle!$A$2:$A$687,$A46,Detalle!$C$2:$C$687,$B46)</f>
        <v>0.90100000000000002</v>
      </c>
      <c r="G46" s="5">
        <f>AVERAGEIFS(Detalle!$F$2:$F$687,Detalle!$A$2:$A$687,$A46,Detalle!$C$2:$C$687,$B46)</f>
        <v>132.44649999999999</v>
      </c>
      <c r="H46" s="5">
        <f>_xlfn.MINIFS(Detalle!$F$2:$F$687,Detalle!$A$2:$A$687,$A46,Detalle!$C$2:$C$687,$B46)</f>
        <v>108.562</v>
      </c>
      <c r="I46" s="5">
        <f>_xlfn.MAXIFS(Detalle!$F$2:$F$687,Detalle!$A$2:$A$687,$A46,Detalle!$C$2:$C$687,$B46)</f>
        <v>156.33099999999999</v>
      </c>
    </row>
    <row r="47" spans="1:9" x14ac:dyDescent="0.25">
      <c r="A47" s="3">
        <v>2</v>
      </c>
      <c r="B47" s="3" t="s">
        <v>13</v>
      </c>
      <c r="C47" s="4">
        <f>COUNTIFS(Detalle!$A$2:$A$687,$A47,Detalle!$C$2:$C$687,$B47)</f>
        <v>7</v>
      </c>
      <c r="D47" s="5">
        <f>AVERAGEIFS(Detalle!$D$2:$D$687,Detalle!$A$2:$A$687,$A47,Detalle!$C$2:$C$687,$B47)</f>
        <v>0.8461428571428572</v>
      </c>
      <c r="E47" s="5">
        <f>_xlfn.MINIFS(Detalle!$D$2:$D$687,Detalle!$A$2:$A$687,$A47,Detalle!$C$2:$C$687,$B47)</f>
        <v>0.68700000000000006</v>
      </c>
      <c r="F47" s="5">
        <f>_xlfn.MAXIFS(Detalle!$D$2:$D$687,Detalle!$A$2:$A$687,$A47,Detalle!$C$2:$C$687,$B47)</f>
        <v>0.96599999999999997</v>
      </c>
      <c r="G47" s="5">
        <f>AVERAGEIFS(Detalle!$F$2:$F$687,Detalle!$A$2:$A$687,$A47,Detalle!$C$2:$C$687,$B47)</f>
        <v>119.65285714285717</v>
      </c>
      <c r="H47" s="5">
        <f>_xlfn.MINIFS(Detalle!$F$2:$F$687,Detalle!$A$2:$A$687,$A47,Detalle!$C$2:$C$687,$B47)</f>
        <v>103.271</v>
      </c>
      <c r="I47" s="5">
        <f>_xlfn.MAXIFS(Detalle!$F$2:$F$687,Detalle!$A$2:$A$687,$A47,Detalle!$C$2:$C$687,$B47)</f>
        <v>143.762</v>
      </c>
    </row>
    <row r="48" spans="1:9" x14ac:dyDescent="0.25">
      <c r="A48" s="3">
        <v>2</v>
      </c>
      <c r="B48" s="3" t="s">
        <v>28</v>
      </c>
      <c r="C48" s="4">
        <f>COUNTIFS(Detalle!$A$2:$A$687,$A48,Detalle!$C$2:$C$687,$B48)</f>
        <v>2</v>
      </c>
      <c r="D48" s="5">
        <f>AVERAGEIFS(Detalle!$D$2:$D$687,Detalle!$A$2:$A$687,$A48,Detalle!$C$2:$C$687,$B48)</f>
        <v>0.91800000000000004</v>
      </c>
      <c r="E48" s="5">
        <f>_xlfn.MINIFS(Detalle!$D$2:$D$687,Detalle!$A$2:$A$687,$A48,Detalle!$C$2:$C$687,$B48)</f>
        <v>0.91</v>
      </c>
      <c r="F48" s="5">
        <f>_xlfn.MAXIFS(Detalle!$D$2:$D$687,Detalle!$A$2:$A$687,$A48,Detalle!$C$2:$C$687,$B48)</f>
        <v>0.92600000000000005</v>
      </c>
      <c r="G48" s="5">
        <f>AVERAGEIFS(Detalle!$F$2:$F$687,Detalle!$A$2:$A$687,$A48,Detalle!$C$2:$C$687,$B48)</f>
        <v>116.75749999999999</v>
      </c>
      <c r="H48" s="5">
        <f>_xlfn.MINIFS(Detalle!$F$2:$F$687,Detalle!$A$2:$A$687,$A48,Detalle!$C$2:$C$687,$B48)</f>
        <v>85</v>
      </c>
      <c r="I48" s="5">
        <f>_xlfn.MAXIFS(Detalle!$F$2:$F$687,Detalle!$A$2:$A$687,$A48,Detalle!$C$2:$C$687,$B48)</f>
        <v>148.51499999999999</v>
      </c>
    </row>
    <row r="49" spans="1:9" x14ac:dyDescent="0.25">
      <c r="A49" s="3">
        <v>2</v>
      </c>
      <c r="B49" s="3" t="s">
        <v>37</v>
      </c>
      <c r="C49" s="4">
        <f>COUNTIFS(Detalle!$A$2:$A$687,$A49,Detalle!$C$2:$C$687,$B49)</f>
        <v>1</v>
      </c>
      <c r="D49" s="5">
        <f>AVERAGEIFS(Detalle!$D$2:$D$687,Detalle!$A$2:$A$687,$A49,Detalle!$C$2:$C$687,$B49)</f>
        <v>0.92900000000000005</v>
      </c>
      <c r="E49" s="5">
        <f>_xlfn.MINIFS(Detalle!$D$2:$D$687,Detalle!$A$2:$A$687,$A49,Detalle!$C$2:$C$687,$B49)</f>
        <v>0.92900000000000005</v>
      </c>
      <c r="F49" s="5">
        <f>_xlfn.MAXIFS(Detalle!$D$2:$D$687,Detalle!$A$2:$A$687,$A49,Detalle!$C$2:$C$687,$B49)</f>
        <v>0.92900000000000005</v>
      </c>
      <c r="G49" s="5">
        <f>AVERAGEIFS(Detalle!$F$2:$F$687,Detalle!$A$2:$A$687,$A49,Detalle!$C$2:$C$687,$B49)</f>
        <v>103.11499999999999</v>
      </c>
      <c r="H49" s="5">
        <f>_xlfn.MINIFS(Detalle!$F$2:$F$687,Detalle!$A$2:$A$687,$A49,Detalle!$C$2:$C$687,$B49)</f>
        <v>103.11499999999999</v>
      </c>
      <c r="I49" s="5">
        <f>_xlfn.MAXIFS(Detalle!$F$2:$F$687,Detalle!$A$2:$A$687,$A49,Detalle!$C$2:$C$687,$B49)</f>
        <v>103.11499999999999</v>
      </c>
    </row>
    <row r="50" spans="1:9" x14ac:dyDescent="0.25">
      <c r="A50" s="3">
        <v>2</v>
      </c>
      <c r="B50" s="3" t="s">
        <v>21</v>
      </c>
      <c r="C50" s="4">
        <f>COUNTIFS(Detalle!$A$2:$A$687,$A50,Detalle!$C$2:$C$687,$B50)</f>
        <v>4</v>
      </c>
      <c r="D50" s="5">
        <f>AVERAGEIFS(Detalle!$D$2:$D$687,Detalle!$A$2:$A$687,$A50,Detalle!$C$2:$C$687,$B50)</f>
        <v>0.94175000000000009</v>
      </c>
      <c r="E50" s="5">
        <f>_xlfn.MINIFS(Detalle!$D$2:$D$687,Detalle!$A$2:$A$687,$A50,Detalle!$C$2:$C$687,$B50)</f>
        <v>0.86299999999999999</v>
      </c>
      <c r="F50" s="5">
        <f>_xlfn.MAXIFS(Detalle!$D$2:$D$687,Detalle!$A$2:$A$687,$A50,Detalle!$C$2:$C$687,$B50)</f>
        <v>0.99</v>
      </c>
      <c r="G50" s="5">
        <f>AVERAGEIFS(Detalle!$F$2:$F$687,Detalle!$A$2:$A$687,$A50,Detalle!$C$2:$C$687,$B50)</f>
        <v>130.91250000000002</v>
      </c>
      <c r="H50" s="5">
        <f>_xlfn.MINIFS(Detalle!$F$2:$F$687,Detalle!$A$2:$A$687,$A50,Detalle!$C$2:$C$687,$B50)</f>
        <v>85</v>
      </c>
      <c r="I50" s="5">
        <f>_xlfn.MAXIFS(Detalle!$F$2:$F$687,Detalle!$A$2:$A$687,$A50,Detalle!$C$2:$C$687,$B50)</f>
        <v>174.96600000000001</v>
      </c>
    </row>
    <row r="51" spans="1:9" x14ac:dyDescent="0.25">
      <c r="A51" s="3">
        <v>3</v>
      </c>
      <c r="B51" s="3" t="s">
        <v>38</v>
      </c>
      <c r="C51" s="4">
        <f>COUNTIFS(Detalle!$A$2:$A$687,$A51,Detalle!$C$2:$C$687,$B51)</f>
        <v>2</v>
      </c>
      <c r="D51" s="5">
        <f>AVERAGEIFS(Detalle!$D$2:$D$687,Detalle!$A$2:$A$687,$A51,Detalle!$C$2:$C$687,$B51)</f>
        <v>0.84499999999999997</v>
      </c>
      <c r="E51" s="5">
        <f>_xlfn.MINIFS(Detalle!$D$2:$D$687,Detalle!$A$2:$A$687,$A51,Detalle!$C$2:$C$687,$B51)</f>
        <v>0.77400000000000002</v>
      </c>
      <c r="F51" s="5">
        <f>_xlfn.MAXIFS(Detalle!$D$2:$D$687,Detalle!$A$2:$A$687,$A51,Detalle!$C$2:$C$687,$B51)</f>
        <v>0.91600000000000004</v>
      </c>
      <c r="G51" s="5">
        <f>AVERAGEIFS(Detalle!$F$2:$F$687,Detalle!$A$2:$A$687,$A51,Detalle!$C$2:$C$687,$B51)</f>
        <v>108.0395</v>
      </c>
      <c r="H51" s="5">
        <f>_xlfn.MINIFS(Detalle!$F$2:$F$687,Detalle!$A$2:$A$687,$A51,Detalle!$C$2:$C$687,$B51)</f>
        <v>97.09</v>
      </c>
      <c r="I51" s="5">
        <f>_xlfn.MAXIFS(Detalle!$F$2:$F$687,Detalle!$A$2:$A$687,$A51,Detalle!$C$2:$C$687,$B51)</f>
        <v>118.989</v>
      </c>
    </row>
    <row r="52" spans="1:9" x14ac:dyDescent="0.25">
      <c r="A52" s="3">
        <v>3</v>
      </c>
      <c r="B52" s="3" t="s">
        <v>23</v>
      </c>
      <c r="C52" s="4">
        <f>COUNTIFS(Detalle!$A$2:$A$687,$A52,Detalle!$C$2:$C$687,$B52)</f>
        <v>3</v>
      </c>
      <c r="D52" s="5">
        <f>AVERAGEIFS(Detalle!$D$2:$D$687,Detalle!$A$2:$A$687,$A52,Detalle!$C$2:$C$687,$B52)</f>
        <v>0.89566666666666672</v>
      </c>
      <c r="E52" s="5">
        <f>_xlfn.MINIFS(Detalle!$D$2:$D$687,Detalle!$A$2:$A$687,$A52,Detalle!$C$2:$C$687,$B52)</f>
        <v>0.83899999999999997</v>
      </c>
      <c r="F52" s="5">
        <f>_xlfn.MAXIFS(Detalle!$D$2:$D$687,Detalle!$A$2:$A$687,$A52,Detalle!$C$2:$C$687,$B52)</f>
        <v>0.99</v>
      </c>
      <c r="G52" s="5">
        <f>AVERAGEIFS(Detalle!$F$2:$F$687,Detalle!$A$2:$A$687,$A52,Detalle!$C$2:$C$687,$B52)</f>
        <v>116.056</v>
      </c>
      <c r="H52" s="5">
        <f>_xlfn.MINIFS(Detalle!$F$2:$F$687,Detalle!$A$2:$A$687,$A52,Detalle!$C$2:$C$687,$B52)</f>
        <v>85</v>
      </c>
      <c r="I52" s="5">
        <f>_xlfn.MAXIFS(Detalle!$F$2:$F$687,Detalle!$A$2:$A$687,$A52,Detalle!$C$2:$C$687,$B52)</f>
        <v>162.51900000000001</v>
      </c>
    </row>
    <row r="53" spans="1:9" x14ac:dyDescent="0.25">
      <c r="A53" s="3">
        <v>3</v>
      </c>
      <c r="B53" s="3" t="s">
        <v>25</v>
      </c>
      <c r="C53" s="4">
        <f>COUNTIFS(Detalle!$A$2:$A$687,$A53,Detalle!$C$2:$C$687,$B53)</f>
        <v>2</v>
      </c>
      <c r="D53" s="5">
        <f>AVERAGEIFS(Detalle!$D$2:$D$687,Detalle!$A$2:$A$687,$A53,Detalle!$C$2:$C$687,$B53)</f>
        <v>0.89700000000000002</v>
      </c>
      <c r="E53" s="5">
        <f>_xlfn.MINIFS(Detalle!$D$2:$D$687,Detalle!$A$2:$A$687,$A53,Detalle!$C$2:$C$687,$B53)</f>
        <v>0.80400000000000005</v>
      </c>
      <c r="F53" s="5">
        <f>_xlfn.MAXIFS(Detalle!$D$2:$D$687,Detalle!$A$2:$A$687,$A53,Detalle!$C$2:$C$687,$B53)</f>
        <v>0.99</v>
      </c>
      <c r="G53" s="5">
        <f>AVERAGEIFS(Detalle!$F$2:$F$687,Detalle!$A$2:$A$687,$A53,Detalle!$C$2:$C$687,$B53)</f>
        <v>139.0275</v>
      </c>
      <c r="H53" s="5">
        <f>_xlfn.MINIFS(Detalle!$F$2:$F$687,Detalle!$A$2:$A$687,$A53,Detalle!$C$2:$C$687,$B53)</f>
        <v>137.31100000000001</v>
      </c>
      <c r="I53" s="5">
        <f>_xlfn.MAXIFS(Detalle!$F$2:$F$687,Detalle!$A$2:$A$687,$A53,Detalle!$C$2:$C$687,$B53)</f>
        <v>140.744</v>
      </c>
    </row>
    <row r="54" spans="1:9" x14ac:dyDescent="0.25">
      <c r="A54" s="3">
        <v>3</v>
      </c>
      <c r="B54" s="3" t="s">
        <v>31</v>
      </c>
      <c r="C54" s="4">
        <f>COUNTIFS(Detalle!$A$2:$A$687,$A54,Detalle!$C$2:$C$687,$B54)</f>
        <v>4</v>
      </c>
      <c r="D54" s="5">
        <f>AVERAGEIFS(Detalle!$D$2:$D$687,Detalle!$A$2:$A$687,$A54,Detalle!$C$2:$C$687,$B54)</f>
        <v>0.91975000000000007</v>
      </c>
      <c r="E54" s="5">
        <f>_xlfn.MINIFS(Detalle!$D$2:$D$687,Detalle!$A$2:$A$687,$A54,Detalle!$C$2:$C$687,$B54)</f>
        <v>0.85</v>
      </c>
      <c r="F54" s="5">
        <f>_xlfn.MAXIFS(Detalle!$D$2:$D$687,Detalle!$A$2:$A$687,$A54,Detalle!$C$2:$C$687,$B54)</f>
        <v>0.97899999999999998</v>
      </c>
      <c r="G54" s="5">
        <f>AVERAGEIFS(Detalle!$F$2:$F$687,Detalle!$A$2:$A$687,$A54,Detalle!$C$2:$C$687,$B54)</f>
        <v>105.62075</v>
      </c>
      <c r="H54" s="5">
        <f>_xlfn.MINIFS(Detalle!$F$2:$F$687,Detalle!$A$2:$A$687,$A54,Detalle!$C$2:$C$687,$B54)</f>
        <v>85</v>
      </c>
      <c r="I54" s="5">
        <f>_xlfn.MAXIFS(Detalle!$F$2:$F$687,Detalle!$A$2:$A$687,$A54,Detalle!$C$2:$C$687,$B54)</f>
        <v>120.24</v>
      </c>
    </row>
    <row r="55" spans="1:9" x14ac:dyDescent="0.25">
      <c r="A55" s="3">
        <v>3</v>
      </c>
      <c r="B55" s="3" t="s">
        <v>29</v>
      </c>
      <c r="C55" s="4">
        <f>COUNTIFS(Detalle!$A$2:$A$687,$A55,Detalle!$C$2:$C$687,$B55)</f>
        <v>2</v>
      </c>
      <c r="D55" s="5">
        <f>AVERAGEIFS(Detalle!$D$2:$D$687,Detalle!$A$2:$A$687,$A55,Detalle!$C$2:$C$687,$B55)</f>
        <v>0.95550000000000002</v>
      </c>
      <c r="E55" s="5">
        <f>_xlfn.MINIFS(Detalle!$D$2:$D$687,Detalle!$A$2:$A$687,$A55,Detalle!$C$2:$C$687,$B55)</f>
        <v>0.94199999999999995</v>
      </c>
      <c r="F55" s="5">
        <f>_xlfn.MAXIFS(Detalle!$D$2:$D$687,Detalle!$A$2:$A$687,$A55,Detalle!$C$2:$C$687,$B55)</f>
        <v>0.96899999999999997</v>
      </c>
      <c r="G55" s="5">
        <f>AVERAGEIFS(Detalle!$F$2:$F$687,Detalle!$A$2:$A$687,$A55,Detalle!$C$2:$C$687,$B55)</f>
        <v>126.77349999999998</v>
      </c>
      <c r="H55" s="5">
        <f>_xlfn.MINIFS(Detalle!$F$2:$F$687,Detalle!$A$2:$A$687,$A55,Detalle!$C$2:$C$687,$B55)</f>
        <v>115.627</v>
      </c>
      <c r="I55" s="5">
        <f>_xlfn.MAXIFS(Detalle!$F$2:$F$687,Detalle!$A$2:$A$687,$A55,Detalle!$C$2:$C$687,$B55)</f>
        <v>137.91999999999999</v>
      </c>
    </row>
    <row r="56" spans="1:9" x14ac:dyDescent="0.25">
      <c r="A56" s="3">
        <v>3</v>
      </c>
      <c r="B56" s="3" t="s">
        <v>22</v>
      </c>
      <c r="C56" s="4">
        <f>COUNTIFS(Detalle!$A$2:$A$687,$A56,Detalle!$C$2:$C$687,$B56)</f>
        <v>4</v>
      </c>
      <c r="D56" s="5">
        <f>AVERAGEIFS(Detalle!$D$2:$D$687,Detalle!$A$2:$A$687,$A56,Detalle!$C$2:$C$687,$B56)</f>
        <v>0.91300000000000003</v>
      </c>
      <c r="E56" s="5">
        <f>_xlfn.MINIFS(Detalle!$D$2:$D$687,Detalle!$A$2:$A$687,$A56,Detalle!$C$2:$C$687,$B56)</f>
        <v>0.88200000000000001</v>
      </c>
      <c r="F56" s="5">
        <f>_xlfn.MAXIFS(Detalle!$D$2:$D$687,Detalle!$A$2:$A$687,$A56,Detalle!$C$2:$C$687,$B56)</f>
        <v>0.97299999999999998</v>
      </c>
      <c r="G56" s="5">
        <f>AVERAGEIFS(Detalle!$F$2:$F$687,Detalle!$A$2:$A$687,$A56,Detalle!$C$2:$C$687,$B56)</f>
        <v>122.108</v>
      </c>
      <c r="H56" s="5">
        <f>_xlfn.MINIFS(Detalle!$F$2:$F$687,Detalle!$A$2:$A$687,$A56,Detalle!$C$2:$C$687,$B56)</f>
        <v>109.977</v>
      </c>
      <c r="I56" s="5">
        <f>_xlfn.MAXIFS(Detalle!$F$2:$F$687,Detalle!$A$2:$A$687,$A56,Detalle!$C$2:$C$687,$B56)</f>
        <v>136.09800000000001</v>
      </c>
    </row>
    <row r="57" spans="1:9" x14ac:dyDescent="0.25">
      <c r="A57" s="3">
        <v>3</v>
      </c>
      <c r="B57" s="3" t="s">
        <v>33</v>
      </c>
      <c r="C57" s="4">
        <f>COUNTIFS(Detalle!$A$2:$A$687,$A57,Detalle!$C$2:$C$687,$B57)</f>
        <v>2</v>
      </c>
      <c r="D57" s="5">
        <f>AVERAGEIFS(Detalle!$D$2:$D$687,Detalle!$A$2:$A$687,$A57,Detalle!$C$2:$C$687,$B57)</f>
        <v>0.89749999999999996</v>
      </c>
      <c r="E57" s="5">
        <f>_xlfn.MINIFS(Detalle!$D$2:$D$687,Detalle!$A$2:$A$687,$A57,Detalle!$C$2:$C$687,$B57)</f>
        <v>0.875</v>
      </c>
      <c r="F57" s="5">
        <f>_xlfn.MAXIFS(Detalle!$D$2:$D$687,Detalle!$A$2:$A$687,$A57,Detalle!$C$2:$C$687,$B57)</f>
        <v>0.92</v>
      </c>
      <c r="G57" s="5">
        <f>AVERAGEIFS(Detalle!$F$2:$F$687,Detalle!$A$2:$A$687,$A57,Detalle!$C$2:$C$687,$B57)</f>
        <v>126.1725</v>
      </c>
      <c r="H57" s="5">
        <f>_xlfn.MINIFS(Detalle!$F$2:$F$687,Detalle!$A$2:$A$687,$A57,Detalle!$C$2:$C$687,$B57)</f>
        <v>110.483</v>
      </c>
      <c r="I57" s="5">
        <f>_xlfn.MAXIFS(Detalle!$F$2:$F$687,Detalle!$A$2:$A$687,$A57,Detalle!$C$2:$C$687,$B57)</f>
        <v>141.86199999999999</v>
      </c>
    </row>
    <row r="58" spans="1:9" x14ac:dyDescent="0.25">
      <c r="A58" s="3">
        <v>3</v>
      </c>
      <c r="B58" s="3" t="s">
        <v>30</v>
      </c>
      <c r="C58" s="4">
        <f>COUNTIFS(Detalle!$A$2:$A$687,$A58,Detalle!$C$2:$C$687,$B58)</f>
        <v>3</v>
      </c>
      <c r="D58" s="5">
        <f>AVERAGEIFS(Detalle!$D$2:$D$687,Detalle!$A$2:$A$687,$A58,Detalle!$C$2:$C$687,$B58)</f>
        <v>0.91833333333333333</v>
      </c>
      <c r="E58" s="5">
        <f>_xlfn.MINIFS(Detalle!$D$2:$D$687,Detalle!$A$2:$A$687,$A58,Detalle!$C$2:$C$687,$B58)</f>
        <v>0.9</v>
      </c>
      <c r="F58" s="5">
        <f>_xlfn.MAXIFS(Detalle!$D$2:$D$687,Detalle!$A$2:$A$687,$A58,Detalle!$C$2:$C$687,$B58)</f>
        <v>0.93899999999999995</v>
      </c>
      <c r="G58" s="5">
        <f>AVERAGEIFS(Detalle!$F$2:$F$687,Detalle!$A$2:$A$687,$A58,Detalle!$C$2:$C$687,$B58)</f>
        <v>112.79233333333333</v>
      </c>
      <c r="H58" s="5">
        <f>_xlfn.MINIFS(Detalle!$F$2:$F$687,Detalle!$A$2:$A$687,$A58,Detalle!$C$2:$C$687,$B58)</f>
        <v>102.28700000000001</v>
      </c>
      <c r="I58" s="5">
        <f>_xlfn.MAXIFS(Detalle!$F$2:$F$687,Detalle!$A$2:$A$687,$A58,Detalle!$C$2:$C$687,$B58)</f>
        <v>125.146</v>
      </c>
    </row>
    <row r="59" spans="1:9" x14ac:dyDescent="0.25">
      <c r="A59" s="3">
        <v>3</v>
      </c>
      <c r="B59" s="3" t="s">
        <v>32</v>
      </c>
      <c r="C59" s="4">
        <f>COUNTIFS(Detalle!$A$2:$A$687,$A59,Detalle!$C$2:$C$687,$B59)</f>
        <v>3</v>
      </c>
      <c r="D59" s="5">
        <f>AVERAGEIFS(Detalle!$D$2:$D$687,Detalle!$A$2:$A$687,$A59,Detalle!$C$2:$C$687,$B59)</f>
        <v>0.78366666666666662</v>
      </c>
      <c r="E59" s="5">
        <f>_xlfn.MINIFS(Detalle!$D$2:$D$687,Detalle!$A$2:$A$687,$A59,Detalle!$C$2:$C$687,$B59)</f>
        <v>0.70299999999999996</v>
      </c>
      <c r="F59" s="5">
        <f>_xlfn.MAXIFS(Detalle!$D$2:$D$687,Detalle!$A$2:$A$687,$A59,Detalle!$C$2:$C$687,$B59)</f>
        <v>0.874</v>
      </c>
      <c r="G59" s="5">
        <f>AVERAGEIFS(Detalle!$F$2:$F$687,Detalle!$A$2:$A$687,$A59,Detalle!$C$2:$C$687,$B59)</f>
        <v>128.42133333333334</v>
      </c>
      <c r="H59" s="5">
        <f>_xlfn.MINIFS(Detalle!$F$2:$F$687,Detalle!$A$2:$A$687,$A59,Detalle!$C$2:$C$687,$B59)</f>
        <v>103.2</v>
      </c>
      <c r="I59" s="5">
        <f>_xlfn.MAXIFS(Detalle!$F$2:$F$687,Detalle!$A$2:$A$687,$A59,Detalle!$C$2:$C$687,$B59)</f>
        <v>147.66999999999999</v>
      </c>
    </row>
    <row r="60" spans="1:9" x14ac:dyDescent="0.25">
      <c r="A60" s="3">
        <v>3</v>
      </c>
      <c r="B60" s="3" t="s">
        <v>39</v>
      </c>
      <c r="C60" s="4">
        <f>COUNTIFS(Detalle!$A$2:$A$687,$A60,Detalle!$C$2:$C$687,$B60)</f>
        <v>4</v>
      </c>
      <c r="D60" s="5">
        <f>AVERAGEIFS(Detalle!$D$2:$D$687,Detalle!$A$2:$A$687,$A60,Detalle!$C$2:$C$687,$B60)</f>
        <v>0.90375000000000005</v>
      </c>
      <c r="E60" s="5">
        <f>_xlfn.MINIFS(Detalle!$D$2:$D$687,Detalle!$A$2:$A$687,$A60,Detalle!$C$2:$C$687,$B60)</f>
        <v>0.82599999999999996</v>
      </c>
      <c r="F60" s="5">
        <f>_xlfn.MAXIFS(Detalle!$D$2:$D$687,Detalle!$A$2:$A$687,$A60,Detalle!$C$2:$C$687,$B60)</f>
        <v>0.97399999999999998</v>
      </c>
      <c r="G60" s="5">
        <f>AVERAGEIFS(Detalle!$F$2:$F$687,Detalle!$A$2:$A$687,$A60,Detalle!$C$2:$C$687,$B60)</f>
        <v>110.67824999999999</v>
      </c>
      <c r="H60" s="5">
        <f>_xlfn.MINIFS(Detalle!$F$2:$F$687,Detalle!$A$2:$A$687,$A60,Detalle!$C$2:$C$687,$B60)</f>
        <v>103.19799999999999</v>
      </c>
      <c r="I60" s="5">
        <f>_xlfn.MAXIFS(Detalle!$F$2:$F$687,Detalle!$A$2:$A$687,$A60,Detalle!$C$2:$C$687,$B60)</f>
        <v>120.02</v>
      </c>
    </row>
    <row r="61" spans="1:9" x14ac:dyDescent="0.25">
      <c r="A61" s="3">
        <v>3</v>
      </c>
      <c r="B61" s="3" t="s">
        <v>19</v>
      </c>
      <c r="C61" s="4">
        <f>COUNTIFS(Detalle!$A$2:$A$687,$A61,Detalle!$C$2:$C$687,$B61)</f>
        <v>4</v>
      </c>
      <c r="D61" s="5">
        <f>AVERAGEIFS(Detalle!$D$2:$D$687,Detalle!$A$2:$A$687,$A61,Detalle!$C$2:$C$687,$B61)</f>
        <v>0.89250000000000007</v>
      </c>
      <c r="E61" s="5">
        <f>_xlfn.MINIFS(Detalle!$D$2:$D$687,Detalle!$A$2:$A$687,$A61,Detalle!$C$2:$C$687,$B61)</f>
        <v>0.82399999999999995</v>
      </c>
      <c r="F61" s="5">
        <f>_xlfn.MAXIFS(Detalle!$D$2:$D$687,Detalle!$A$2:$A$687,$A61,Detalle!$C$2:$C$687,$B61)</f>
        <v>0.92100000000000004</v>
      </c>
      <c r="G61" s="5">
        <f>AVERAGEIFS(Detalle!$F$2:$F$687,Detalle!$A$2:$A$687,$A61,Detalle!$C$2:$C$687,$B61)</f>
        <v>110.81975</v>
      </c>
      <c r="H61" s="5">
        <f>_xlfn.MINIFS(Detalle!$F$2:$F$687,Detalle!$A$2:$A$687,$A61,Detalle!$C$2:$C$687,$B61)</f>
        <v>90.65</v>
      </c>
      <c r="I61" s="5">
        <f>_xlfn.MAXIFS(Detalle!$F$2:$F$687,Detalle!$A$2:$A$687,$A61,Detalle!$C$2:$C$687,$B61)</f>
        <v>148.58000000000001</v>
      </c>
    </row>
    <row r="62" spans="1:9" x14ac:dyDescent="0.25">
      <c r="A62" s="3">
        <v>3</v>
      </c>
      <c r="B62" s="3" t="s">
        <v>11</v>
      </c>
      <c r="C62" s="4">
        <f>COUNTIFS(Detalle!$A$2:$A$687,$A62,Detalle!$C$2:$C$687,$B62)</f>
        <v>4</v>
      </c>
      <c r="D62" s="5">
        <f>AVERAGEIFS(Detalle!$D$2:$D$687,Detalle!$A$2:$A$687,$A62,Detalle!$C$2:$C$687,$B62)</f>
        <v>0.87750000000000006</v>
      </c>
      <c r="E62" s="5">
        <f>_xlfn.MINIFS(Detalle!$D$2:$D$687,Detalle!$A$2:$A$687,$A62,Detalle!$C$2:$C$687,$B62)</f>
        <v>0.78500000000000003</v>
      </c>
      <c r="F62" s="5">
        <f>_xlfn.MAXIFS(Detalle!$D$2:$D$687,Detalle!$A$2:$A$687,$A62,Detalle!$C$2:$C$687,$B62)</f>
        <v>0.91800000000000004</v>
      </c>
      <c r="G62" s="5">
        <f>AVERAGEIFS(Detalle!$F$2:$F$687,Detalle!$A$2:$A$687,$A62,Detalle!$C$2:$C$687,$B62)</f>
        <v>139.89400000000001</v>
      </c>
      <c r="H62" s="5">
        <f>_xlfn.MINIFS(Detalle!$F$2:$F$687,Detalle!$A$2:$A$687,$A62,Detalle!$C$2:$C$687,$B62)</f>
        <v>119.187</v>
      </c>
      <c r="I62" s="5">
        <f>_xlfn.MAXIFS(Detalle!$F$2:$F$687,Detalle!$A$2:$A$687,$A62,Detalle!$C$2:$C$687,$B62)</f>
        <v>154.596</v>
      </c>
    </row>
    <row r="63" spans="1:9" x14ac:dyDescent="0.25">
      <c r="A63" s="3">
        <v>3</v>
      </c>
      <c r="B63" s="3" t="s">
        <v>36</v>
      </c>
      <c r="C63" s="4">
        <f>COUNTIFS(Detalle!$A$2:$A$687,$A63,Detalle!$C$2:$C$687,$B63)</f>
        <v>1</v>
      </c>
      <c r="D63" s="5">
        <f>AVERAGEIFS(Detalle!$D$2:$D$687,Detalle!$A$2:$A$687,$A63,Detalle!$C$2:$C$687,$B63)</f>
        <v>0.93100000000000005</v>
      </c>
      <c r="E63" s="5">
        <f>_xlfn.MINIFS(Detalle!$D$2:$D$687,Detalle!$A$2:$A$687,$A63,Detalle!$C$2:$C$687,$B63)</f>
        <v>0.93100000000000005</v>
      </c>
      <c r="F63" s="5">
        <f>_xlfn.MAXIFS(Detalle!$D$2:$D$687,Detalle!$A$2:$A$687,$A63,Detalle!$C$2:$C$687,$B63)</f>
        <v>0.93100000000000005</v>
      </c>
      <c r="G63" s="5">
        <f>AVERAGEIFS(Detalle!$F$2:$F$687,Detalle!$A$2:$A$687,$A63,Detalle!$C$2:$C$687,$B63)</f>
        <v>135.24100000000001</v>
      </c>
      <c r="H63" s="5">
        <f>_xlfn.MINIFS(Detalle!$F$2:$F$687,Detalle!$A$2:$A$687,$A63,Detalle!$C$2:$C$687,$B63)</f>
        <v>135.24100000000001</v>
      </c>
      <c r="I63" s="5">
        <f>_xlfn.MAXIFS(Detalle!$F$2:$F$687,Detalle!$A$2:$A$687,$A63,Detalle!$C$2:$C$687,$B63)</f>
        <v>135.24100000000001</v>
      </c>
    </row>
    <row r="64" spans="1:9" x14ac:dyDescent="0.25">
      <c r="A64" s="3">
        <v>3</v>
      </c>
      <c r="B64" s="3" t="s">
        <v>18</v>
      </c>
      <c r="C64" s="4">
        <f>COUNTIFS(Detalle!$A$2:$A$687,$A64,Detalle!$C$2:$C$687,$B64)</f>
        <v>2</v>
      </c>
      <c r="D64" s="5">
        <f>AVERAGEIFS(Detalle!$D$2:$D$687,Detalle!$A$2:$A$687,$A64,Detalle!$C$2:$C$687,$B64)</f>
        <v>0.9375</v>
      </c>
      <c r="E64" s="5">
        <f>_xlfn.MINIFS(Detalle!$D$2:$D$687,Detalle!$A$2:$A$687,$A64,Detalle!$C$2:$C$687,$B64)</f>
        <v>0.88500000000000001</v>
      </c>
      <c r="F64" s="5">
        <f>_xlfn.MAXIFS(Detalle!$D$2:$D$687,Detalle!$A$2:$A$687,$A64,Detalle!$C$2:$C$687,$B64)</f>
        <v>0.99</v>
      </c>
      <c r="G64" s="5">
        <f>AVERAGEIFS(Detalle!$F$2:$F$687,Detalle!$A$2:$A$687,$A64,Detalle!$C$2:$C$687,$B64)</f>
        <v>95.06450000000001</v>
      </c>
      <c r="H64" s="5">
        <f>_xlfn.MINIFS(Detalle!$F$2:$F$687,Detalle!$A$2:$A$687,$A64,Detalle!$C$2:$C$687,$B64)</f>
        <v>85</v>
      </c>
      <c r="I64" s="5">
        <f>_xlfn.MAXIFS(Detalle!$F$2:$F$687,Detalle!$A$2:$A$687,$A64,Detalle!$C$2:$C$687,$B64)</f>
        <v>105.129</v>
      </c>
    </row>
    <row r="65" spans="1:9" x14ac:dyDescent="0.25">
      <c r="A65" s="3">
        <v>3</v>
      </c>
      <c r="B65" s="3" t="s">
        <v>35</v>
      </c>
      <c r="C65" s="4">
        <f>COUNTIFS(Detalle!$A$2:$A$687,$A65,Detalle!$C$2:$C$687,$B65)</f>
        <v>1</v>
      </c>
      <c r="D65" s="5">
        <f>AVERAGEIFS(Detalle!$D$2:$D$687,Detalle!$A$2:$A$687,$A65,Detalle!$C$2:$C$687,$B65)</f>
        <v>0.81799999999999995</v>
      </c>
      <c r="E65" s="5">
        <f>_xlfn.MINIFS(Detalle!$D$2:$D$687,Detalle!$A$2:$A$687,$A65,Detalle!$C$2:$C$687,$B65)</f>
        <v>0.81799999999999995</v>
      </c>
      <c r="F65" s="5">
        <f>_xlfn.MAXIFS(Detalle!$D$2:$D$687,Detalle!$A$2:$A$687,$A65,Detalle!$C$2:$C$687,$B65)</f>
        <v>0.81799999999999995</v>
      </c>
      <c r="G65" s="5">
        <f>AVERAGEIFS(Detalle!$F$2:$F$687,Detalle!$A$2:$A$687,$A65,Detalle!$C$2:$C$687,$B65)</f>
        <v>97.863</v>
      </c>
      <c r="H65" s="5">
        <f>_xlfn.MINIFS(Detalle!$F$2:$F$687,Detalle!$A$2:$A$687,$A65,Detalle!$C$2:$C$687,$B65)</f>
        <v>97.863</v>
      </c>
      <c r="I65" s="5">
        <f>_xlfn.MAXIFS(Detalle!$F$2:$F$687,Detalle!$A$2:$A$687,$A65,Detalle!$C$2:$C$687,$B65)</f>
        <v>97.863</v>
      </c>
    </row>
    <row r="66" spans="1:9" x14ac:dyDescent="0.25">
      <c r="A66" s="3">
        <v>3</v>
      </c>
      <c r="B66" s="3" t="s">
        <v>17</v>
      </c>
      <c r="C66" s="4">
        <f>COUNTIFS(Detalle!$A$2:$A$687,$A66,Detalle!$C$2:$C$687,$B66)</f>
        <v>3</v>
      </c>
      <c r="D66" s="5">
        <f>AVERAGEIFS(Detalle!$D$2:$D$687,Detalle!$A$2:$A$687,$A66,Detalle!$C$2:$C$687,$B66)</f>
        <v>0.81400000000000006</v>
      </c>
      <c r="E66" s="5">
        <f>_xlfn.MINIFS(Detalle!$D$2:$D$687,Detalle!$A$2:$A$687,$A66,Detalle!$C$2:$C$687,$B66)</f>
        <v>0.69799999999999995</v>
      </c>
      <c r="F66" s="5">
        <f>_xlfn.MAXIFS(Detalle!$D$2:$D$687,Detalle!$A$2:$A$687,$A66,Detalle!$C$2:$C$687,$B66)</f>
        <v>0.88300000000000001</v>
      </c>
      <c r="G66" s="5">
        <f>AVERAGEIFS(Detalle!$F$2:$F$687,Detalle!$A$2:$A$687,$A66,Detalle!$C$2:$C$687,$B66)</f>
        <v>115.42866666666667</v>
      </c>
      <c r="H66" s="5">
        <f>_xlfn.MINIFS(Detalle!$F$2:$F$687,Detalle!$A$2:$A$687,$A66,Detalle!$C$2:$C$687,$B66)</f>
        <v>93.105999999999995</v>
      </c>
      <c r="I66" s="5">
        <f>_xlfn.MAXIFS(Detalle!$F$2:$F$687,Detalle!$A$2:$A$687,$A66,Detalle!$C$2:$C$687,$B66)</f>
        <v>131.774</v>
      </c>
    </row>
    <row r="67" spans="1:9" x14ac:dyDescent="0.25">
      <c r="A67" s="3">
        <v>3</v>
      </c>
      <c r="B67" s="3" t="s">
        <v>34</v>
      </c>
      <c r="C67" s="4">
        <f>COUNTIFS(Detalle!$A$2:$A$687,$A67,Detalle!$C$2:$C$687,$B67)</f>
        <v>2</v>
      </c>
      <c r="D67" s="5">
        <f>AVERAGEIFS(Detalle!$D$2:$D$687,Detalle!$A$2:$A$687,$A67,Detalle!$C$2:$C$687,$B67)</f>
        <v>0.90549999999999997</v>
      </c>
      <c r="E67" s="5">
        <f>_xlfn.MINIFS(Detalle!$D$2:$D$687,Detalle!$A$2:$A$687,$A67,Detalle!$C$2:$C$687,$B67)</f>
        <v>0.88100000000000001</v>
      </c>
      <c r="F67" s="5">
        <f>_xlfn.MAXIFS(Detalle!$D$2:$D$687,Detalle!$A$2:$A$687,$A67,Detalle!$C$2:$C$687,$B67)</f>
        <v>0.93</v>
      </c>
      <c r="G67" s="5">
        <f>AVERAGEIFS(Detalle!$F$2:$F$687,Detalle!$A$2:$A$687,$A67,Detalle!$C$2:$C$687,$B67)</f>
        <v>114.6515</v>
      </c>
      <c r="H67" s="5">
        <f>_xlfn.MINIFS(Detalle!$F$2:$F$687,Detalle!$A$2:$A$687,$A67,Detalle!$C$2:$C$687,$B67)</f>
        <v>95.762</v>
      </c>
      <c r="I67" s="5">
        <f>_xlfn.MAXIFS(Detalle!$F$2:$F$687,Detalle!$A$2:$A$687,$A67,Detalle!$C$2:$C$687,$B67)</f>
        <v>133.541</v>
      </c>
    </row>
    <row r="68" spans="1:9" x14ac:dyDescent="0.25">
      <c r="A68" s="3">
        <v>3</v>
      </c>
      <c r="B68" s="3" t="s">
        <v>16</v>
      </c>
      <c r="C68" s="4">
        <f>COUNTIFS(Detalle!$A$2:$A$687,$A68,Detalle!$C$2:$C$687,$B68)</f>
        <v>4</v>
      </c>
      <c r="D68" s="5">
        <f>AVERAGEIFS(Detalle!$D$2:$D$687,Detalle!$A$2:$A$687,$A68,Detalle!$C$2:$C$687,$B68)</f>
        <v>0.81774999999999998</v>
      </c>
      <c r="E68" s="5">
        <f>_xlfn.MINIFS(Detalle!$D$2:$D$687,Detalle!$A$2:$A$687,$A68,Detalle!$C$2:$C$687,$B68)</f>
        <v>0.72499999999999998</v>
      </c>
      <c r="F68" s="5">
        <f>_xlfn.MAXIFS(Detalle!$D$2:$D$687,Detalle!$A$2:$A$687,$A68,Detalle!$C$2:$C$687,$B68)</f>
        <v>0.91</v>
      </c>
      <c r="G68" s="5">
        <f>AVERAGEIFS(Detalle!$F$2:$F$687,Detalle!$A$2:$A$687,$A68,Detalle!$C$2:$C$687,$B68)</f>
        <v>108.75125</v>
      </c>
      <c r="H68" s="5">
        <f>_xlfn.MINIFS(Detalle!$F$2:$F$687,Detalle!$A$2:$A$687,$A68,Detalle!$C$2:$C$687,$B68)</f>
        <v>97.799000000000007</v>
      </c>
      <c r="I68" s="5">
        <f>_xlfn.MAXIFS(Detalle!$F$2:$F$687,Detalle!$A$2:$A$687,$A68,Detalle!$C$2:$C$687,$B68)</f>
        <v>128.429</v>
      </c>
    </row>
    <row r="69" spans="1:9" x14ac:dyDescent="0.25">
      <c r="A69" s="3">
        <v>3</v>
      </c>
      <c r="B69" s="3" t="s">
        <v>13</v>
      </c>
      <c r="C69" s="4">
        <f>COUNTIFS(Detalle!$A$2:$A$687,$A69,Detalle!$C$2:$C$687,$B69)</f>
        <v>3</v>
      </c>
      <c r="D69" s="5">
        <f>AVERAGEIFS(Detalle!$D$2:$D$687,Detalle!$A$2:$A$687,$A69,Detalle!$C$2:$C$687,$B69)</f>
        <v>0.85133333333333328</v>
      </c>
      <c r="E69" s="5">
        <f>_xlfn.MINIFS(Detalle!$D$2:$D$687,Detalle!$A$2:$A$687,$A69,Detalle!$C$2:$C$687,$B69)</f>
        <v>0.81200000000000006</v>
      </c>
      <c r="F69" s="5">
        <f>_xlfn.MAXIFS(Detalle!$D$2:$D$687,Detalle!$A$2:$A$687,$A69,Detalle!$C$2:$C$687,$B69)</f>
        <v>0.90400000000000003</v>
      </c>
      <c r="G69" s="5">
        <f>AVERAGEIFS(Detalle!$F$2:$F$687,Detalle!$A$2:$A$687,$A69,Detalle!$C$2:$C$687,$B69)</f>
        <v>108.46499999999999</v>
      </c>
      <c r="H69" s="5">
        <f>_xlfn.MINIFS(Detalle!$F$2:$F$687,Detalle!$A$2:$A$687,$A69,Detalle!$C$2:$C$687,$B69)</f>
        <v>98.168999999999997</v>
      </c>
      <c r="I69" s="5">
        <f>_xlfn.MAXIFS(Detalle!$F$2:$F$687,Detalle!$A$2:$A$687,$A69,Detalle!$C$2:$C$687,$B69)</f>
        <v>119.59</v>
      </c>
    </row>
    <row r="70" spans="1:9" x14ac:dyDescent="0.25">
      <c r="A70" s="3">
        <v>3</v>
      </c>
      <c r="B70" s="3" t="s">
        <v>21</v>
      </c>
      <c r="C70" s="4">
        <f>COUNTIFS(Detalle!$A$2:$A$687,$A70,Detalle!$C$2:$C$687,$B70)</f>
        <v>2</v>
      </c>
      <c r="D70" s="5">
        <f>AVERAGEIFS(Detalle!$D$2:$D$687,Detalle!$A$2:$A$687,$A70,Detalle!$C$2:$C$687,$B70)</f>
        <v>0.876</v>
      </c>
      <c r="E70" s="5">
        <f>_xlfn.MINIFS(Detalle!$D$2:$D$687,Detalle!$A$2:$A$687,$A70,Detalle!$C$2:$C$687,$B70)</f>
        <v>0.86399999999999999</v>
      </c>
      <c r="F70" s="5">
        <f>_xlfn.MAXIFS(Detalle!$D$2:$D$687,Detalle!$A$2:$A$687,$A70,Detalle!$C$2:$C$687,$B70)</f>
        <v>0.88800000000000001</v>
      </c>
      <c r="G70" s="5">
        <f>AVERAGEIFS(Detalle!$F$2:$F$687,Detalle!$A$2:$A$687,$A70,Detalle!$C$2:$C$687,$B70)</f>
        <v>117.77700000000002</v>
      </c>
      <c r="H70" s="5">
        <f>_xlfn.MINIFS(Detalle!$F$2:$F$687,Detalle!$A$2:$A$687,$A70,Detalle!$C$2:$C$687,$B70)</f>
        <v>94.927000000000007</v>
      </c>
      <c r="I70" s="5">
        <f>_xlfn.MAXIFS(Detalle!$F$2:$F$687,Detalle!$A$2:$A$687,$A70,Detalle!$C$2:$C$687,$B70)</f>
        <v>140.62700000000001</v>
      </c>
    </row>
    <row r="71" spans="1:9" x14ac:dyDescent="0.25">
      <c r="A71" s="3">
        <v>3</v>
      </c>
      <c r="B71" s="3" t="s">
        <v>20</v>
      </c>
      <c r="C71" s="4">
        <f>COUNTIFS(Detalle!$A$2:$A$687,$A71,Detalle!$C$2:$C$687,$B71)</f>
        <v>1</v>
      </c>
      <c r="D71" s="5">
        <f>AVERAGEIFS(Detalle!$D$2:$D$687,Detalle!$A$2:$A$687,$A71,Detalle!$C$2:$C$687,$B71)</f>
        <v>0.84599999999999997</v>
      </c>
      <c r="E71" s="5">
        <f>_xlfn.MINIFS(Detalle!$D$2:$D$687,Detalle!$A$2:$A$687,$A71,Detalle!$C$2:$C$687,$B71)</f>
        <v>0.84599999999999997</v>
      </c>
      <c r="F71" s="5">
        <f>_xlfn.MAXIFS(Detalle!$D$2:$D$687,Detalle!$A$2:$A$687,$A71,Detalle!$C$2:$C$687,$B71)</f>
        <v>0.84599999999999997</v>
      </c>
      <c r="G71" s="5">
        <f>AVERAGEIFS(Detalle!$F$2:$F$687,Detalle!$A$2:$A$687,$A71,Detalle!$C$2:$C$687,$B71)</f>
        <v>137.529</v>
      </c>
      <c r="H71" s="5">
        <f>_xlfn.MINIFS(Detalle!$F$2:$F$687,Detalle!$A$2:$A$687,$A71,Detalle!$C$2:$C$687,$B71)</f>
        <v>137.529</v>
      </c>
      <c r="I71" s="5">
        <f>_xlfn.MAXIFS(Detalle!$F$2:$F$687,Detalle!$A$2:$A$687,$A71,Detalle!$C$2:$C$687,$B71)</f>
        <v>137.529</v>
      </c>
    </row>
    <row r="72" spans="1:9" x14ac:dyDescent="0.25">
      <c r="A72" s="3">
        <v>4</v>
      </c>
      <c r="B72" s="3" t="s">
        <v>38</v>
      </c>
      <c r="C72" s="4">
        <f>COUNTIFS(Detalle!$A$2:$A$687,$A72,Detalle!$C$2:$C$687,$B72)</f>
        <v>1</v>
      </c>
      <c r="D72" s="5">
        <f>AVERAGEIFS(Detalle!$D$2:$D$687,Detalle!$A$2:$A$687,$A72,Detalle!$C$2:$C$687,$B72)</f>
        <v>0.86199999999999999</v>
      </c>
      <c r="E72" s="5">
        <f>_xlfn.MINIFS(Detalle!$D$2:$D$687,Detalle!$A$2:$A$687,$A72,Detalle!$C$2:$C$687,$B72)</f>
        <v>0.86199999999999999</v>
      </c>
      <c r="F72" s="5">
        <f>_xlfn.MAXIFS(Detalle!$D$2:$D$687,Detalle!$A$2:$A$687,$A72,Detalle!$C$2:$C$687,$B72)</f>
        <v>0.86199999999999999</v>
      </c>
      <c r="G72" s="5">
        <f>AVERAGEIFS(Detalle!$F$2:$F$687,Detalle!$A$2:$A$687,$A72,Detalle!$C$2:$C$687,$B72)</f>
        <v>142.316</v>
      </c>
      <c r="H72" s="5">
        <f>_xlfn.MINIFS(Detalle!$F$2:$F$687,Detalle!$A$2:$A$687,$A72,Detalle!$C$2:$C$687,$B72)</f>
        <v>142.316</v>
      </c>
      <c r="I72" s="5">
        <f>_xlfn.MAXIFS(Detalle!$F$2:$F$687,Detalle!$A$2:$A$687,$A72,Detalle!$C$2:$C$687,$B72)</f>
        <v>142.316</v>
      </c>
    </row>
    <row r="73" spans="1:9" x14ac:dyDescent="0.25">
      <c r="A73" s="3">
        <v>4</v>
      </c>
      <c r="B73" s="3" t="s">
        <v>23</v>
      </c>
      <c r="C73" s="4">
        <f>COUNTIFS(Detalle!$A$2:$A$687,$A73,Detalle!$C$2:$C$687,$B73)</f>
        <v>2</v>
      </c>
      <c r="D73" s="5">
        <f>AVERAGEIFS(Detalle!$D$2:$D$687,Detalle!$A$2:$A$687,$A73,Detalle!$C$2:$C$687,$B73)</f>
        <v>0.89900000000000002</v>
      </c>
      <c r="E73" s="5">
        <f>_xlfn.MINIFS(Detalle!$D$2:$D$687,Detalle!$A$2:$A$687,$A73,Detalle!$C$2:$C$687,$B73)</f>
        <v>0.89800000000000002</v>
      </c>
      <c r="F73" s="5">
        <f>_xlfn.MAXIFS(Detalle!$D$2:$D$687,Detalle!$A$2:$A$687,$A73,Detalle!$C$2:$C$687,$B73)</f>
        <v>0.9</v>
      </c>
      <c r="G73" s="5">
        <f>AVERAGEIFS(Detalle!$F$2:$F$687,Detalle!$A$2:$A$687,$A73,Detalle!$C$2:$C$687,$B73)</f>
        <v>130.38150000000002</v>
      </c>
      <c r="H73" s="5">
        <f>_xlfn.MINIFS(Detalle!$F$2:$F$687,Detalle!$A$2:$A$687,$A73,Detalle!$C$2:$C$687,$B73)</f>
        <v>128.023</v>
      </c>
      <c r="I73" s="5">
        <f>_xlfn.MAXIFS(Detalle!$F$2:$F$687,Detalle!$A$2:$A$687,$A73,Detalle!$C$2:$C$687,$B73)</f>
        <v>132.74</v>
      </c>
    </row>
    <row r="74" spans="1:9" x14ac:dyDescent="0.25">
      <c r="A74" s="3">
        <v>4</v>
      </c>
      <c r="B74" s="3" t="s">
        <v>31</v>
      </c>
      <c r="C74" s="4">
        <f>COUNTIFS(Detalle!$A$2:$A$687,$A74,Detalle!$C$2:$C$687,$B74)</f>
        <v>2</v>
      </c>
      <c r="D74" s="5">
        <f>AVERAGEIFS(Detalle!$D$2:$D$687,Detalle!$A$2:$A$687,$A74,Detalle!$C$2:$C$687,$B74)</f>
        <v>0.85799999999999998</v>
      </c>
      <c r="E74" s="5">
        <f>_xlfn.MINIFS(Detalle!$D$2:$D$687,Detalle!$A$2:$A$687,$A74,Detalle!$C$2:$C$687,$B74)</f>
        <v>0.84</v>
      </c>
      <c r="F74" s="5">
        <f>_xlfn.MAXIFS(Detalle!$D$2:$D$687,Detalle!$A$2:$A$687,$A74,Detalle!$C$2:$C$687,$B74)</f>
        <v>0.876</v>
      </c>
      <c r="G74" s="5">
        <f>AVERAGEIFS(Detalle!$F$2:$F$687,Detalle!$A$2:$A$687,$A74,Detalle!$C$2:$C$687,$B74)</f>
        <v>101.4885</v>
      </c>
      <c r="H74" s="5">
        <f>_xlfn.MINIFS(Detalle!$F$2:$F$687,Detalle!$A$2:$A$687,$A74,Detalle!$C$2:$C$687,$B74)</f>
        <v>90.849000000000004</v>
      </c>
      <c r="I74" s="5">
        <f>_xlfn.MAXIFS(Detalle!$F$2:$F$687,Detalle!$A$2:$A$687,$A74,Detalle!$C$2:$C$687,$B74)</f>
        <v>112.128</v>
      </c>
    </row>
    <row r="75" spans="1:9" x14ac:dyDescent="0.25">
      <c r="A75" s="3">
        <v>4</v>
      </c>
      <c r="B75" s="3" t="s">
        <v>22</v>
      </c>
      <c r="C75" s="4">
        <f>COUNTIFS(Detalle!$A$2:$A$687,$A75,Detalle!$C$2:$C$687,$B75)</f>
        <v>1</v>
      </c>
      <c r="D75" s="5">
        <f>AVERAGEIFS(Detalle!$D$2:$D$687,Detalle!$A$2:$A$687,$A75,Detalle!$C$2:$C$687,$B75)</f>
        <v>0.73899999999999999</v>
      </c>
      <c r="E75" s="5">
        <f>_xlfn.MINIFS(Detalle!$D$2:$D$687,Detalle!$A$2:$A$687,$A75,Detalle!$C$2:$C$687,$B75)</f>
        <v>0.73899999999999999</v>
      </c>
      <c r="F75" s="5">
        <f>_xlfn.MAXIFS(Detalle!$D$2:$D$687,Detalle!$A$2:$A$687,$A75,Detalle!$C$2:$C$687,$B75)</f>
        <v>0.73899999999999999</v>
      </c>
      <c r="G75" s="5">
        <f>AVERAGEIFS(Detalle!$F$2:$F$687,Detalle!$A$2:$A$687,$A75,Detalle!$C$2:$C$687,$B75)</f>
        <v>98.367000000000004</v>
      </c>
      <c r="H75" s="5">
        <f>_xlfn.MINIFS(Detalle!$F$2:$F$687,Detalle!$A$2:$A$687,$A75,Detalle!$C$2:$C$687,$B75)</f>
        <v>98.367000000000004</v>
      </c>
      <c r="I75" s="5">
        <f>_xlfn.MAXIFS(Detalle!$F$2:$F$687,Detalle!$A$2:$A$687,$A75,Detalle!$C$2:$C$687,$B75)</f>
        <v>98.367000000000004</v>
      </c>
    </row>
    <row r="76" spans="1:9" x14ac:dyDescent="0.25">
      <c r="A76" s="3">
        <v>4</v>
      </c>
      <c r="B76" s="3" t="s">
        <v>26</v>
      </c>
      <c r="C76" s="4">
        <f>COUNTIFS(Detalle!$A$2:$A$687,$A76,Detalle!$C$2:$C$687,$B76)</f>
        <v>1</v>
      </c>
      <c r="D76" s="5">
        <f>AVERAGEIFS(Detalle!$D$2:$D$687,Detalle!$A$2:$A$687,$A76,Detalle!$C$2:$C$687,$B76)</f>
        <v>0.93300000000000005</v>
      </c>
      <c r="E76" s="5">
        <f>_xlfn.MINIFS(Detalle!$D$2:$D$687,Detalle!$A$2:$A$687,$A76,Detalle!$C$2:$C$687,$B76)</f>
        <v>0.93300000000000005</v>
      </c>
      <c r="F76" s="5">
        <f>_xlfn.MAXIFS(Detalle!$D$2:$D$687,Detalle!$A$2:$A$687,$A76,Detalle!$C$2:$C$687,$B76)</f>
        <v>0.93300000000000005</v>
      </c>
      <c r="G76" s="5">
        <f>AVERAGEIFS(Detalle!$F$2:$F$687,Detalle!$A$2:$A$687,$A76,Detalle!$C$2:$C$687,$B76)</f>
        <v>112.697</v>
      </c>
      <c r="H76" s="5">
        <f>_xlfn.MINIFS(Detalle!$F$2:$F$687,Detalle!$A$2:$A$687,$A76,Detalle!$C$2:$C$687,$B76)</f>
        <v>112.697</v>
      </c>
      <c r="I76" s="5">
        <f>_xlfn.MAXIFS(Detalle!$F$2:$F$687,Detalle!$A$2:$A$687,$A76,Detalle!$C$2:$C$687,$B76)</f>
        <v>112.697</v>
      </c>
    </row>
    <row r="77" spans="1:9" x14ac:dyDescent="0.25">
      <c r="A77" s="3">
        <v>4</v>
      </c>
      <c r="B77" s="3" t="s">
        <v>30</v>
      </c>
      <c r="C77" s="4">
        <f>COUNTIFS(Detalle!$A$2:$A$687,$A77,Detalle!$C$2:$C$687,$B77)</f>
        <v>2</v>
      </c>
      <c r="D77" s="5">
        <f>AVERAGEIFS(Detalle!$D$2:$D$687,Detalle!$A$2:$A$687,$A77,Detalle!$C$2:$C$687,$B77)</f>
        <v>0.82699999999999996</v>
      </c>
      <c r="E77" s="5">
        <f>_xlfn.MINIFS(Detalle!$D$2:$D$687,Detalle!$A$2:$A$687,$A77,Detalle!$C$2:$C$687,$B77)</f>
        <v>0.72</v>
      </c>
      <c r="F77" s="5">
        <f>_xlfn.MAXIFS(Detalle!$D$2:$D$687,Detalle!$A$2:$A$687,$A77,Detalle!$C$2:$C$687,$B77)</f>
        <v>0.93400000000000005</v>
      </c>
      <c r="G77" s="5">
        <f>AVERAGEIFS(Detalle!$F$2:$F$687,Detalle!$A$2:$A$687,$A77,Detalle!$C$2:$C$687,$B77)</f>
        <v>120.3745</v>
      </c>
      <c r="H77" s="5">
        <f>_xlfn.MINIFS(Detalle!$F$2:$F$687,Detalle!$A$2:$A$687,$A77,Detalle!$C$2:$C$687,$B77)</f>
        <v>105.602</v>
      </c>
      <c r="I77" s="5">
        <f>_xlfn.MAXIFS(Detalle!$F$2:$F$687,Detalle!$A$2:$A$687,$A77,Detalle!$C$2:$C$687,$B77)</f>
        <v>135.14699999999999</v>
      </c>
    </row>
    <row r="78" spans="1:9" x14ac:dyDescent="0.25">
      <c r="A78" s="3">
        <v>4</v>
      </c>
      <c r="B78" s="3" t="s">
        <v>27</v>
      </c>
      <c r="C78" s="4">
        <f>COUNTIFS(Detalle!$A$2:$A$687,$A78,Detalle!$C$2:$C$687,$B78)</f>
        <v>2</v>
      </c>
      <c r="D78" s="5">
        <f>AVERAGEIFS(Detalle!$D$2:$D$687,Detalle!$A$2:$A$687,$A78,Detalle!$C$2:$C$687,$B78)</f>
        <v>0.89949999999999997</v>
      </c>
      <c r="E78" s="5">
        <f>_xlfn.MINIFS(Detalle!$D$2:$D$687,Detalle!$A$2:$A$687,$A78,Detalle!$C$2:$C$687,$B78)</f>
        <v>0.89800000000000002</v>
      </c>
      <c r="F78" s="5">
        <f>_xlfn.MAXIFS(Detalle!$D$2:$D$687,Detalle!$A$2:$A$687,$A78,Detalle!$C$2:$C$687,$B78)</f>
        <v>0.90100000000000002</v>
      </c>
      <c r="G78" s="5">
        <f>AVERAGEIFS(Detalle!$F$2:$F$687,Detalle!$A$2:$A$687,$A78,Detalle!$C$2:$C$687,$B78)</f>
        <v>154.32350000000002</v>
      </c>
      <c r="H78" s="5">
        <f>_xlfn.MINIFS(Detalle!$F$2:$F$687,Detalle!$A$2:$A$687,$A78,Detalle!$C$2:$C$687,$B78)</f>
        <v>136.80600000000001</v>
      </c>
      <c r="I78" s="5">
        <f>_xlfn.MAXIFS(Detalle!$F$2:$F$687,Detalle!$A$2:$A$687,$A78,Detalle!$C$2:$C$687,$B78)</f>
        <v>171.84100000000001</v>
      </c>
    </row>
    <row r="79" spans="1:9" x14ac:dyDescent="0.25">
      <c r="A79" s="3">
        <v>4</v>
      </c>
      <c r="B79" s="3" t="s">
        <v>32</v>
      </c>
      <c r="C79" s="4">
        <f>COUNTIFS(Detalle!$A$2:$A$687,$A79,Detalle!$C$2:$C$687,$B79)</f>
        <v>1</v>
      </c>
      <c r="D79" s="5">
        <f>AVERAGEIFS(Detalle!$D$2:$D$687,Detalle!$A$2:$A$687,$A79,Detalle!$C$2:$C$687,$B79)</f>
        <v>0.89500000000000002</v>
      </c>
      <c r="E79" s="5">
        <f>_xlfn.MINIFS(Detalle!$D$2:$D$687,Detalle!$A$2:$A$687,$A79,Detalle!$C$2:$C$687,$B79)</f>
        <v>0.89500000000000002</v>
      </c>
      <c r="F79" s="5">
        <f>_xlfn.MAXIFS(Detalle!$D$2:$D$687,Detalle!$A$2:$A$687,$A79,Detalle!$C$2:$C$687,$B79)</f>
        <v>0.89500000000000002</v>
      </c>
      <c r="G79" s="5">
        <f>AVERAGEIFS(Detalle!$F$2:$F$687,Detalle!$A$2:$A$687,$A79,Detalle!$C$2:$C$687,$B79)</f>
        <v>116.384</v>
      </c>
      <c r="H79" s="5">
        <f>_xlfn.MINIFS(Detalle!$F$2:$F$687,Detalle!$A$2:$A$687,$A79,Detalle!$C$2:$C$687,$B79)</f>
        <v>116.384</v>
      </c>
      <c r="I79" s="5">
        <f>_xlfn.MAXIFS(Detalle!$F$2:$F$687,Detalle!$A$2:$A$687,$A79,Detalle!$C$2:$C$687,$B79)</f>
        <v>116.384</v>
      </c>
    </row>
    <row r="80" spans="1:9" x14ac:dyDescent="0.25">
      <c r="A80" s="3">
        <v>4</v>
      </c>
      <c r="B80" s="3" t="s">
        <v>39</v>
      </c>
      <c r="C80" s="4">
        <f>COUNTIFS(Detalle!$A$2:$A$687,$A80,Detalle!$C$2:$C$687,$B80)</f>
        <v>1</v>
      </c>
      <c r="D80" s="5">
        <f>AVERAGEIFS(Detalle!$D$2:$D$687,Detalle!$A$2:$A$687,$A80,Detalle!$C$2:$C$687,$B80)</f>
        <v>0.80600000000000005</v>
      </c>
      <c r="E80" s="5">
        <f>_xlfn.MINIFS(Detalle!$D$2:$D$687,Detalle!$A$2:$A$687,$A80,Detalle!$C$2:$C$687,$B80)</f>
        <v>0.80600000000000005</v>
      </c>
      <c r="F80" s="5">
        <f>_xlfn.MAXIFS(Detalle!$D$2:$D$687,Detalle!$A$2:$A$687,$A80,Detalle!$C$2:$C$687,$B80)</f>
        <v>0.80600000000000005</v>
      </c>
      <c r="G80" s="5">
        <f>AVERAGEIFS(Detalle!$F$2:$F$687,Detalle!$A$2:$A$687,$A80,Detalle!$C$2:$C$687,$B80)</f>
        <v>139.982</v>
      </c>
      <c r="H80" s="5">
        <f>_xlfn.MINIFS(Detalle!$F$2:$F$687,Detalle!$A$2:$A$687,$A80,Detalle!$C$2:$C$687,$B80)</f>
        <v>139.982</v>
      </c>
      <c r="I80" s="5">
        <f>_xlfn.MAXIFS(Detalle!$F$2:$F$687,Detalle!$A$2:$A$687,$A80,Detalle!$C$2:$C$687,$B80)</f>
        <v>139.982</v>
      </c>
    </row>
    <row r="81" spans="1:9" x14ac:dyDescent="0.25">
      <c r="A81" s="3">
        <v>4</v>
      </c>
      <c r="B81" s="3" t="s">
        <v>19</v>
      </c>
      <c r="C81" s="4">
        <f>COUNTIFS(Detalle!$A$2:$A$687,$A81,Detalle!$C$2:$C$687,$B81)</f>
        <v>1</v>
      </c>
      <c r="D81" s="5">
        <f>AVERAGEIFS(Detalle!$D$2:$D$687,Detalle!$A$2:$A$687,$A81,Detalle!$C$2:$C$687,$B81)</f>
        <v>0.89900000000000002</v>
      </c>
      <c r="E81" s="5">
        <f>_xlfn.MINIFS(Detalle!$D$2:$D$687,Detalle!$A$2:$A$687,$A81,Detalle!$C$2:$C$687,$B81)</f>
        <v>0.89900000000000002</v>
      </c>
      <c r="F81" s="5">
        <f>_xlfn.MAXIFS(Detalle!$D$2:$D$687,Detalle!$A$2:$A$687,$A81,Detalle!$C$2:$C$687,$B81)</f>
        <v>0.89900000000000002</v>
      </c>
      <c r="G81" s="5">
        <f>AVERAGEIFS(Detalle!$F$2:$F$687,Detalle!$A$2:$A$687,$A81,Detalle!$C$2:$C$687,$B81)</f>
        <v>101.262</v>
      </c>
      <c r="H81" s="5">
        <f>_xlfn.MINIFS(Detalle!$F$2:$F$687,Detalle!$A$2:$A$687,$A81,Detalle!$C$2:$C$687,$B81)</f>
        <v>101.262</v>
      </c>
      <c r="I81" s="5">
        <f>_xlfn.MAXIFS(Detalle!$F$2:$F$687,Detalle!$A$2:$A$687,$A81,Detalle!$C$2:$C$687,$B81)</f>
        <v>101.262</v>
      </c>
    </row>
    <row r="82" spans="1:9" x14ac:dyDescent="0.25">
      <c r="A82" s="3">
        <v>4</v>
      </c>
      <c r="B82" s="3" t="s">
        <v>11</v>
      </c>
      <c r="C82" s="4">
        <f>COUNTIFS(Detalle!$A$2:$A$687,$A82,Detalle!$C$2:$C$687,$B82)</f>
        <v>2</v>
      </c>
      <c r="D82" s="5">
        <f>AVERAGEIFS(Detalle!$D$2:$D$687,Detalle!$A$2:$A$687,$A82,Detalle!$C$2:$C$687,$B82)</f>
        <v>0.8899999999999999</v>
      </c>
      <c r="E82" s="5">
        <f>_xlfn.MINIFS(Detalle!$D$2:$D$687,Detalle!$A$2:$A$687,$A82,Detalle!$C$2:$C$687,$B82)</f>
        <v>0.82799999999999996</v>
      </c>
      <c r="F82" s="5">
        <f>_xlfn.MAXIFS(Detalle!$D$2:$D$687,Detalle!$A$2:$A$687,$A82,Detalle!$C$2:$C$687,$B82)</f>
        <v>0.95199999999999996</v>
      </c>
      <c r="G82" s="5">
        <f>AVERAGEIFS(Detalle!$F$2:$F$687,Detalle!$A$2:$A$687,$A82,Detalle!$C$2:$C$687,$B82)</f>
        <v>151.86250000000001</v>
      </c>
      <c r="H82" s="5">
        <f>_xlfn.MINIFS(Detalle!$F$2:$F$687,Detalle!$A$2:$A$687,$A82,Detalle!$C$2:$C$687,$B82)</f>
        <v>134.39400000000001</v>
      </c>
      <c r="I82" s="5">
        <f>_xlfn.MAXIFS(Detalle!$F$2:$F$687,Detalle!$A$2:$A$687,$A82,Detalle!$C$2:$C$687,$B82)</f>
        <v>169.33099999999999</v>
      </c>
    </row>
    <row r="83" spans="1:9" x14ac:dyDescent="0.25">
      <c r="A83" s="3">
        <v>4</v>
      </c>
      <c r="B83" s="3" t="s">
        <v>36</v>
      </c>
      <c r="C83" s="4">
        <f>COUNTIFS(Detalle!$A$2:$A$687,$A83,Detalle!$C$2:$C$687,$B83)</f>
        <v>1</v>
      </c>
      <c r="D83" s="5">
        <f>AVERAGEIFS(Detalle!$D$2:$D$687,Detalle!$A$2:$A$687,$A83,Detalle!$C$2:$C$687,$B83)</f>
        <v>0.80400000000000005</v>
      </c>
      <c r="E83" s="5">
        <f>_xlfn.MINIFS(Detalle!$D$2:$D$687,Detalle!$A$2:$A$687,$A83,Detalle!$C$2:$C$687,$B83)</f>
        <v>0.80400000000000005</v>
      </c>
      <c r="F83" s="5">
        <f>_xlfn.MAXIFS(Detalle!$D$2:$D$687,Detalle!$A$2:$A$687,$A83,Detalle!$C$2:$C$687,$B83)</f>
        <v>0.80400000000000005</v>
      </c>
      <c r="G83" s="5">
        <f>AVERAGEIFS(Detalle!$F$2:$F$687,Detalle!$A$2:$A$687,$A83,Detalle!$C$2:$C$687,$B83)</f>
        <v>150.30099999999999</v>
      </c>
      <c r="H83" s="5">
        <f>_xlfn.MINIFS(Detalle!$F$2:$F$687,Detalle!$A$2:$A$687,$A83,Detalle!$C$2:$C$687,$B83)</f>
        <v>150.30099999999999</v>
      </c>
      <c r="I83" s="5">
        <f>_xlfn.MAXIFS(Detalle!$F$2:$F$687,Detalle!$A$2:$A$687,$A83,Detalle!$C$2:$C$687,$B83)</f>
        <v>150.30099999999999</v>
      </c>
    </row>
    <row r="84" spans="1:9" x14ac:dyDescent="0.25">
      <c r="A84" s="3">
        <v>4</v>
      </c>
      <c r="B84" s="3" t="s">
        <v>15</v>
      </c>
      <c r="C84" s="4">
        <f>COUNTIFS(Detalle!$A$2:$A$687,$A84,Detalle!$C$2:$C$687,$B84)</f>
        <v>3</v>
      </c>
      <c r="D84" s="5">
        <f>AVERAGEIFS(Detalle!$D$2:$D$687,Detalle!$A$2:$A$687,$A84,Detalle!$C$2:$C$687,$B84)</f>
        <v>0.88166666666666671</v>
      </c>
      <c r="E84" s="5">
        <f>_xlfn.MINIFS(Detalle!$D$2:$D$687,Detalle!$A$2:$A$687,$A84,Detalle!$C$2:$C$687,$B84)</f>
        <v>0.80400000000000005</v>
      </c>
      <c r="F84" s="5">
        <f>_xlfn.MAXIFS(Detalle!$D$2:$D$687,Detalle!$A$2:$A$687,$A84,Detalle!$C$2:$C$687,$B84)</f>
        <v>0.99</v>
      </c>
      <c r="G84" s="5">
        <f>AVERAGEIFS(Detalle!$F$2:$F$687,Detalle!$A$2:$A$687,$A84,Detalle!$C$2:$C$687,$B84)</f>
        <v>143.39400000000001</v>
      </c>
      <c r="H84" s="5">
        <f>_xlfn.MINIFS(Detalle!$F$2:$F$687,Detalle!$A$2:$A$687,$A84,Detalle!$C$2:$C$687,$B84)</f>
        <v>124.85</v>
      </c>
      <c r="I84" s="5">
        <f>_xlfn.MAXIFS(Detalle!$F$2:$F$687,Detalle!$A$2:$A$687,$A84,Detalle!$C$2:$C$687,$B84)</f>
        <v>152.81399999999999</v>
      </c>
    </row>
    <row r="85" spans="1:9" x14ac:dyDescent="0.25">
      <c r="A85" s="3">
        <v>4</v>
      </c>
      <c r="B85" s="3" t="s">
        <v>18</v>
      </c>
      <c r="C85" s="4">
        <f>COUNTIFS(Detalle!$A$2:$A$687,$A85,Detalle!$C$2:$C$687,$B85)</f>
        <v>2</v>
      </c>
      <c r="D85" s="5">
        <f>AVERAGEIFS(Detalle!$D$2:$D$687,Detalle!$A$2:$A$687,$A85,Detalle!$C$2:$C$687,$B85)</f>
        <v>0.88949999999999996</v>
      </c>
      <c r="E85" s="5">
        <f>_xlfn.MINIFS(Detalle!$D$2:$D$687,Detalle!$A$2:$A$687,$A85,Detalle!$C$2:$C$687,$B85)</f>
        <v>0.85199999999999998</v>
      </c>
      <c r="F85" s="5">
        <f>_xlfn.MAXIFS(Detalle!$D$2:$D$687,Detalle!$A$2:$A$687,$A85,Detalle!$C$2:$C$687,$B85)</f>
        <v>0.92700000000000005</v>
      </c>
      <c r="G85" s="5">
        <f>AVERAGEIFS(Detalle!$F$2:$F$687,Detalle!$A$2:$A$687,$A85,Detalle!$C$2:$C$687,$B85)</f>
        <v>128.14750000000001</v>
      </c>
      <c r="H85" s="5">
        <f>_xlfn.MINIFS(Detalle!$F$2:$F$687,Detalle!$A$2:$A$687,$A85,Detalle!$C$2:$C$687,$B85)</f>
        <v>123.804</v>
      </c>
      <c r="I85" s="5">
        <f>_xlfn.MAXIFS(Detalle!$F$2:$F$687,Detalle!$A$2:$A$687,$A85,Detalle!$C$2:$C$687,$B85)</f>
        <v>132.49100000000001</v>
      </c>
    </row>
    <row r="86" spans="1:9" x14ac:dyDescent="0.25">
      <c r="A86" s="3">
        <v>4</v>
      </c>
      <c r="B86" s="3" t="s">
        <v>35</v>
      </c>
      <c r="C86" s="4">
        <f>COUNTIFS(Detalle!$A$2:$A$687,$A86,Detalle!$C$2:$C$687,$B86)</f>
        <v>2</v>
      </c>
      <c r="D86" s="5">
        <f>AVERAGEIFS(Detalle!$D$2:$D$687,Detalle!$A$2:$A$687,$A86,Detalle!$C$2:$C$687,$B86)</f>
        <v>0.92399999999999993</v>
      </c>
      <c r="E86" s="5">
        <f>_xlfn.MINIFS(Detalle!$D$2:$D$687,Detalle!$A$2:$A$687,$A86,Detalle!$C$2:$C$687,$B86)</f>
        <v>0.89100000000000001</v>
      </c>
      <c r="F86" s="5">
        <f>_xlfn.MAXIFS(Detalle!$D$2:$D$687,Detalle!$A$2:$A$687,$A86,Detalle!$C$2:$C$687,$B86)</f>
        <v>0.95699999999999996</v>
      </c>
      <c r="G86" s="5">
        <f>AVERAGEIFS(Detalle!$F$2:$F$687,Detalle!$A$2:$A$687,$A86,Detalle!$C$2:$C$687,$B86)</f>
        <v>104.3415</v>
      </c>
      <c r="H86" s="5">
        <f>_xlfn.MINIFS(Detalle!$F$2:$F$687,Detalle!$A$2:$A$687,$A86,Detalle!$C$2:$C$687,$B86)</f>
        <v>100.583</v>
      </c>
      <c r="I86" s="5">
        <f>_xlfn.MAXIFS(Detalle!$F$2:$F$687,Detalle!$A$2:$A$687,$A86,Detalle!$C$2:$C$687,$B86)</f>
        <v>108.1</v>
      </c>
    </row>
    <row r="87" spans="1:9" x14ac:dyDescent="0.25">
      <c r="A87" s="3">
        <v>4</v>
      </c>
      <c r="B87" s="3" t="s">
        <v>17</v>
      </c>
      <c r="C87" s="4">
        <f>COUNTIFS(Detalle!$A$2:$A$687,$A87,Detalle!$C$2:$C$687,$B87)</f>
        <v>2</v>
      </c>
      <c r="D87" s="5">
        <f>AVERAGEIFS(Detalle!$D$2:$D$687,Detalle!$A$2:$A$687,$A87,Detalle!$C$2:$C$687,$B87)</f>
        <v>0.95300000000000007</v>
      </c>
      <c r="E87" s="5">
        <f>_xlfn.MINIFS(Detalle!$D$2:$D$687,Detalle!$A$2:$A$687,$A87,Detalle!$C$2:$C$687,$B87)</f>
        <v>0.91600000000000004</v>
      </c>
      <c r="F87" s="5">
        <f>_xlfn.MAXIFS(Detalle!$D$2:$D$687,Detalle!$A$2:$A$687,$A87,Detalle!$C$2:$C$687,$B87)</f>
        <v>0.99</v>
      </c>
      <c r="G87" s="5">
        <f>AVERAGEIFS(Detalle!$F$2:$F$687,Detalle!$A$2:$A$687,$A87,Detalle!$C$2:$C$687,$B87)</f>
        <v>99.218500000000006</v>
      </c>
      <c r="H87" s="5">
        <f>_xlfn.MINIFS(Detalle!$F$2:$F$687,Detalle!$A$2:$A$687,$A87,Detalle!$C$2:$C$687,$B87)</f>
        <v>88.977000000000004</v>
      </c>
      <c r="I87" s="5">
        <f>_xlfn.MAXIFS(Detalle!$F$2:$F$687,Detalle!$A$2:$A$687,$A87,Detalle!$C$2:$C$687,$B87)</f>
        <v>109.46</v>
      </c>
    </row>
    <row r="88" spans="1:9" x14ac:dyDescent="0.25">
      <c r="A88" s="3">
        <v>4</v>
      </c>
      <c r="B88" s="3" t="s">
        <v>34</v>
      </c>
      <c r="C88" s="4">
        <f>COUNTIFS(Detalle!$A$2:$A$687,$A88,Detalle!$C$2:$C$687,$B88)</f>
        <v>1</v>
      </c>
      <c r="D88" s="5">
        <f>AVERAGEIFS(Detalle!$D$2:$D$687,Detalle!$A$2:$A$687,$A88,Detalle!$C$2:$C$687,$B88)</f>
        <v>0.99</v>
      </c>
      <c r="E88" s="5">
        <f>_xlfn.MINIFS(Detalle!$D$2:$D$687,Detalle!$A$2:$A$687,$A88,Detalle!$C$2:$C$687,$B88)</f>
        <v>0.99</v>
      </c>
      <c r="F88" s="5">
        <f>_xlfn.MAXIFS(Detalle!$D$2:$D$687,Detalle!$A$2:$A$687,$A88,Detalle!$C$2:$C$687,$B88)</f>
        <v>0.99</v>
      </c>
      <c r="G88" s="5">
        <f>AVERAGEIFS(Detalle!$F$2:$F$687,Detalle!$A$2:$A$687,$A88,Detalle!$C$2:$C$687,$B88)</f>
        <v>110.256</v>
      </c>
      <c r="H88" s="5">
        <f>_xlfn.MINIFS(Detalle!$F$2:$F$687,Detalle!$A$2:$A$687,$A88,Detalle!$C$2:$C$687,$B88)</f>
        <v>110.256</v>
      </c>
      <c r="I88" s="5">
        <f>_xlfn.MAXIFS(Detalle!$F$2:$F$687,Detalle!$A$2:$A$687,$A88,Detalle!$C$2:$C$687,$B88)</f>
        <v>110.256</v>
      </c>
    </row>
    <row r="89" spans="1:9" x14ac:dyDescent="0.25">
      <c r="A89" s="3">
        <v>4</v>
      </c>
      <c r="B89" s="3" t="s">
        <v>16</v>
      </c>
      <c r="C89" s="4">
        <f>COUNTIFS(Detalle!$A$2:$A$687,$A89,Detalle!$C$2:$C$687,$B89)</f>
        <v>2</v>
      </c>
      <c r="D89" s="5">
        <f>AVERAGEIFS(Detalle!$D$2:$D$687,Detalle!$A$2:$A$687,$A89,Detalle!$C$2:$C$687,$B89)</f>
        <v>0.77099999999999991</v>
      </c>
      <c r="E89" s="5">
        <f>_xlfn.MINIFS(Detalle!$D$2:$D$687,Detalle!$A$2:$A$687,$A89,Detalle!$C$2:$C$687,$B89)</f>
        <v>0.69199999999999995</v>
      </c>
      <c r="F89" s="5">
        <f>_xlfn.MAXIFS(Detalle!$D$2:$D$687,Detalle!$A$2:$A$687,$A89,Detalle!$C$2:$C$687,$B89)</f>
        <v>0.85</v>
      </c>
      <c r="G89" s="5">
        <f>AVERAGEIFS(Detalle!$F$2:$F$687,Detalle!$A$2:$A$687,$A89,Detalle!$C$2:$C$687,$B89)</f>
        <v>107.22200000000001</v>
      </c>
      <c r="H89" s="5">
        <f>_xlfn.MINIFS(Detalle!$F$2:$F$687,Detalle!$A$2:$A$687,$A89,Detalle!$C$2:$C$687,$B89)</f>
        <v>101.455</v>
      </c>
      <c r="I89" s="5">
        <f>_xlfn.MAXIFS(Detalle!$F$2:$F$687,Detalle!$A$2:$A$687,$A89,Detalle!$C$2:$C$687,$B89)</f>
        <v>112.989</v>
      </c>
    </row>
    <row r="90" spans="1:9" x14ac:dyDescent="0.25">
      <c r="A90" s="3">
        <v>4</v>
      </c>
      <c r="B90" s="3" t="s">
        <v>37</v>
      </c>
      <c r="C90" s="4">
        <f>COUNTIFS(Detalle!$A$2:$A$687,$A90,Detalle!$C$2:$C$687,$B90)</f>
        <v>2</v>
      </c>
      <c r="D90" s="5">
        <f>AVERAGEIFS(Detalle!$D$2:$D$687,Detalle!$A$2:$A$687,$A90,Detalle!$C$2:$C$687,$B90)</f>
        <v>0.92949999999999999</v>
      </c>
      <c r="E90" s="5">
        <f>_xlfn.MINIFS(Detalle!$D$2:$D$687,Detalle!$A$2:$A$687,$A90,Detalle!$C$2:$C$687,$B90)</f>
        <v>0.91200000000000003</v>
      </c>
      <c r="F90" s="5">
        <f>_xlfn.MAXIFS(Detalle!$D$2:$D$687,Detalle!$A$2:$A$687,$A90,Detalle!$C$2:$C$687,$B90)</f>
        <v>0.94699999999999995</v>
      </c>
      <c r="G90" s="5">
        <f>AVERAGEIFS(Detalle!$F$2:$F$687,Detalle!$A$2:$A$687,$A90,Detalle!$C$2:$C$687,$B90)</f>
        <v>106.465</v>
      </c>
      <c r="H90" s="5">
        <f>_xlfn.MINIFS(Detalle!$F$2:$F$687,Detalle!$A$2:$A$687,$A90,Detalle!$C$2:$C$687,$B90)</f>
        <v>90.337000000000003</v>
      </c>
      <c r="I90" s="5">
        <f>_xlfn.MAXIFS(Detalle!$F$2:$F$687,Detalle!$A$2:$A$687,$A90,Detalle!$C$2:$C$687,$B90)</f>
        <v>122.593</v>
      </c>
    </row>
    <row r="91" spans="1:9" x14ac:dyDescent="0.25">
      <c r="A91" s="3">
        <v>4</v>
      </c>
      <c r="B91" s="3" t="s">
        <v>21</v>
      </c>
      <c r="C91" s="4">
        <f>COUNTIFS(Detalle!$A$2:$A$687,$A91,Detalle!$C$2:$C$687,$B91)</f>
        <v>2</v>
      </c>
      <c r="D91" s="5">
        <f>AVERAGEIFS(Detalle!$D$2:$D$687,Detalle!$A$2:$A$687,$A91,Detalle!$C$2:$C$687,$B91)</f>
        <v>0.89200000000000002</v>
      </c>
      <c r="E91" s="5">
        <f>_xlfn.MINIFS(Detalle!$D$2:$D$687,Detalle!$A$2:$A$687,$A91,Detalle!$C$2:$C$687,$B91)</f>
        <v>0.85</v>
      </c>
      <c r="F91" s="5">
        <f>_xlfn.MAXIFS(Detalle!$D$2:$D$687,Detalle!$A$2:$A$687,$A91,Detalle!$C$2:$C$687,$B91)</f>
        <v>0.93400000000000005</v>
      </c>
      <c r="G91" s="5">
        <f>AVERAGEIFS(Detalle!$F$2:$F$687,Detalle!$A$2:$A$687,$A91,Detalle!$C$2:$C$687,$B91)</f>
        <v>123.69200000000001</v>
      </c>
      <c r="H91" s="5">
        <f>_xlfn.MINIFS(Detalle!$F$2:$F$687,Detalle!$A$2:$A$687,$A91,Detalle!$C$2:$C$687,$B91)</f>
        <v>109.62</v>
      </c>
      <c r="I91" s="5">
        <f>_xlfn.MAXIFS(Detalle!$F$2:$F$687,Detalle!$A$2:$A$687,$A91,Detalle!$C$2:$C$687,$B91)</f>
        <v>137.76400000000001</v>
      </c>
    </row>
    <row r="92" spans="1:9" x14ac:dyDescent="0.25">
      <c r="A92" s="3">
        <v>4</v>
      </c>
      <c r="B92" s="3" t="s">
        <v>20</v>
      </c>
      <c r="C92" s="4">
        <f>COUNTIFS(Detalle!$A$2:$A$687,$A92,Detalle!$C$2:$C$687,$B92)</f>
        <v>1</v>
      </c>
      <c r="D92" s="5">
        <f>AVERAGEIFS(Detalle!$D$2:$D$687,Detalle!$A$2:$A$687,$A92,Detalle!$C$2:$C$687,$B92)</f>
        <v>0.89300000000000002</v>
      </c>
      <c r="E92" s="5">
        <f>_xlfn.MINIFS(Detalle!$D$2:$D$687,Detalle!$A$2:$A$687,$A92,Detalle!$C$2:$C$687,$B92)</f>
        <v>0.89300000000000002</v>
      </c>
      <c r="F92" s="5">
        <f>_xlfn.MAXIFS(Detalle!$D$2:$D$687,Detalle!$A$2:$A$687,$A92,Detalle!$C$2:$C$687,$B92)</f>
        <v>0.89300000000000002</v>
      </c>
      <c r="G92" s="5">
        <f>AVERAGEIFS(Detalle!$F$2:$F$687,Detalle!$A$2:$A$687,$A92,Detalle!$C$2:$C$687,$B92)</f>
        <v>155.6</v>
      </c>
      <c r="H92" s="5">
        <f>_xlfn.MINIFS(Detalle!$F$2:$F$687,Detalle!$A$2:$A$687,$A92,Detalle!$C$2:$C$687,$B92)</f>
        <v>155.6</v>
      </c>
      <c r="I92" s="5">
        <f>_xlfn.MAXIFS(Detalle!$F$2:$F$687,Detalle!$A$2:$A$687,$A92,Detalle!$C$2:$C$687,$B92)</f>
        <v>155.6</v>
      </c>
    </row>
    <row r="93" spans="1:9" x14ac:dyDescent="0.25">
      <c r="A93" s="3">
        <v>5</v>
      </c>
      <c r="B93" s="3" t="s">
        <v>38</v>
      </c>
      <c r="C93" s="4">
        <f>COUNTIFS(Detalle!$A$2:$A$687,$A93,Detalle!$C$2:$C$687,$B93)</f>
        <v>1</v>
      </c>
      <c r="D93" s="5">
        <f>AVERAGEIFS(Detalle!$D$2:$D$687,Detalle!$A$2:$A$687,$A93,Detalle!$C$2:$C$687,$B93)</f>
        <v>0.85599999999999998</v>
      </c>
      <c r="E93" s="5">
        <f>_xlfn.MINIFS(Detalle!$D$2:$D$687,Detalle!$A$2:$A$687,$A93,Detalle!$C$2:$C$687,$B93)</f>
        <v>0.85599999999999998</v>
      </c>
      <c r="F93" s="5">
        <f>_xlfn.MAXIFS(Detalle!$D$2:$D$687,Detalle!$A$2:$A$687,$A93,Detalle!$C$2:$C$687,$B93)</f>
        <v>0.85599999999999998</v>
      </c>
      <c r="G93" s="5">
        <f>AVERAGEIFS(Detalle!$F$2:$F$687,Detalle!$A$2:$A$687,$A93,Detalle!$C$2:$C$687,$B93)</f>
        <v>85</v>
      </c>
      <c r="H93" s="5">
        <f>_xlfn.MINIFS(Detalle!$F$2:$F$687,Detalle!$A$2:$A$687,$A93,Detalle!$C$2:$C$687,$B93)</f>
        <v>85</v>
      </c>
      <c r="I93" s="5">
        <f>_xlfn.MAXIFS(Detalle!$F$2:$F$687,Detalle!$A$2:$A$687,$A93,Detalle!$C$2:$C$687,$B93)</f>
        <v>85</v>
      </c>
    </row>
    <row r="94" spans="1:9" x14ac:dyDescent="0.25">
      <c r="A94" s="3">
        <v>5</v>
      </c>
      <c r="B94" s="3" t="s">
        <v>23</v>
      </c>
      <c r="C94" s="4">
        <f>COUNTIFS(Detalle!$A$2:$A$687,$A94,Detalle!$C$2:$C$687,$B94)</f>
        <v>2</v>
      </c>
      <c r="D94" s="5">
        <f>AVERAGEIFS(Detalle!$D$2:$D$687,Detalle!$A$2:$A$687,$A94,Detalle!$C$2:$C$687,$B94)</f>
        <v>0.84750000000000003</v>
      </c>
      <c r="E94" s="5">
        <f>_xlfn.MINIFS(Detalle!$D$2:$D$687,Detalle!$A$2:$A$687,$A94,Detalle!$C$2:$C$687,$B94)</f>
        <v>0.79600000000000004</v>
      </c>
      <c r="F94" s="5">
        <f>_xlfn.MAXIFS(Detalle!$D$2:$D$687,Detalle!$A$2:$A$687,$A94,Detalle!$C$2:$C$687,$B94)</f>
        <v>0.89900000000000002</v>
      </c>
      <c r="G94" s="5">
        <f>AVERAGEIFS(Detalle!$F$2:$F$687,Detalle!$A$2:$A$687,$A94,Detalle!$C$2:$C$687,$B94)</f>
        <v>128.51049999999998</v>
      </c>
      <c r="H94" s="5">
        <f>_xlfn.MINIFS(Detalle!$F$2:$F$687,Detalle!$A$2:$A$687,$A94,Detalle!$C$2:$C$687,$B94)</f>
        <v>116.256</v>
      </c>
      <c r="I94" s="5">
        <f>_xlfn.MAXIFS(Detalle!$F$2:$F$687,Detalle!$A$2:$A$687,$A94,Detalle!$C$2:$C$687,$B94)</f>
        <v>140.76499999999999</v>
      </c>
    </row>
    <row r="95" spans="1:9" x14ac:dyDescent="0.25">
      <c r="A95" s="3">
        <v>5</v>
      </c>
      <c r="B95" s="3" t="s">
        <v>25</v>
      </c>
      <c r="C95" s="4">
        <f>COUNTIFS(Detalle!$A$2:$A$687,$A95,Detalle!$C$2:$C$687,$B95)</f>
        <v>2</v>
      </c>
      <c r="D95" s="5">
        <f>AVERAGEIFS(Detalle!$D$2:$D$687,Detalle!$A$2:$A$687,$A95,Detalle!$C$2:$C$687,$B95)</f>
        <v>0.86450000000000005</v>
      </c>
      <c r="E95" s="5">
        <f>_xlfn.MINIFS(Detalle!$D$2:$D$687,Detalle!$A$2:$A$687,$A95,Detalle!$C$2:$C$687,$B95)</f>
        <v>0.82499999999999996</v>
      </c>
      <c r="F95" s="5">
        <f>_xlfn.MAXIFS(Detalle!$D$2:$D$687,Detalle!$A$2:$A$687,$A95,Detalle!$C$2:$C$687,$B95)</f>
        <v>0.90400000000000003</v>
      </c>
      <c r="G95" s="5">
        <f>AVERAGEIFS(Detalle!$F$2:$F$687,Detalle!$A$2:$A$687,$A95,Detalle!$C$2:$C$687,$B95)</f>
        <v>147.886</v>
      </c>
      <c r="H95" s="5">
        <f>_xlfn.MINIFS(Detalle!$F$2:$F$687,Detalle!$A$2:$A$687,$A95,Detalle!$C$2:$C$687,$B95)</f>
        <v>145.536</v>
      </c>
      <c r="I95" s="5">
        <f>_xlfn.MAXIFS(Detalle!$F$2:$F$687,Detalle!$A$2:$A$687,$A95,Detalle!$C$2:$C$687,$B95)</f>
        <v>150.23599999999999</v>
      </c>
    </row>
    <row r="96" spans="1:9" x14ac:dyDescent="0.25">
      <c r="A96" s="3">
        <v>5</v>
      </c>
      <c r="B96" s="3" t="s">
        <v>31</v>
      </c>
      <c r="C96" s="4">
        <f>COUNTIFS(Detalle!$A$2:$A$687,$A96,Detalle!$C$2:$C$687,$B96)</f>
        <v>2</v>
      </c>
      <c r="D96" s="5">
        <f>AVERAGEIFS(Detalle!$D$2:$D$687,Detalle!$A$2:$A$687,$A96,Detalle!$C$2:$C$687,$B96)</f>
        <v>0.92449999999999999</v>
      </c>
      <c r="E96" s="5">
        <f>_xlfn.MINIFS(Detalle!$D$2:$D$687,Detalle!$A$2:$A$687,$A96,Detalle!$C$2:$C$687,$B96)</f>
        <v>0.89300000000000002</v>
      </c>
      <c r="F96" s="5">
        <f>_xlfn.MAXIFS(Detalle!$D$2:$D$687,Detalle!$A$2:$A$687,$A96,Detalle!$C$2:$C$687,$B96)</f>
        <v>0.95599999999999996</v>
      </c>
      <c r="G96" s="5">
        <f>AVERAGEIFS(Detalle!$F$2:$F$687,Detalle!$A$2:$A$687,$A96,Detalle!$C$2:$C$687,$B96)</f>
        <v>130.661</v>
      </c>
      <c r="H96" s="5">
        <f>_xlfn.MINIFS(Detalle!$F$2:$F$687,Detalle!$A$2:$A$687,$A96,Detalle!$C$2:$C$687,$B96)</f>
        <v>115.223</v>
      </c>
      <c r="I96" s="5">
        <f>_xlfn.MAXIFS(Detalle!$F$2:$F$687,Detalle!$A$2:$A$687,$A96,Detalle!$C$2:$C$687,$B96)</f>
        <v>146.09899999999999</v>
      </c>
    </row>
    <row r="97" spans="1:9" x14ac:dyDescent="0.25">
      <c r="A97" s="3">
        <v>5</v>
      </c>
      <c r="B97" s="3" t="s">
        <v>29</v>
      </c>
      <c r="C97" s="4">
        <f>COUNTIFS(Detalle!$A$2:$A$687,$A97,Detalle!$C$2:$C$687,$B97)</f>
        <v>2</v>
      </c>
      <c r="D97" s="5">
        <f>AVERAGEIFS(Detalle!$D$2:$D$687,Detalle!$A$2:$A$687,$A97,Detalle!$C$2:$C$687,$B97)</f>
        <v>0.90650000000000008</v>
      </c>
      <c r="E97" s="5">
        <f>_xlfn.MINIFS(Detalle!$D$2:$D$687,Detalle!$A$2:$A$687,$A97,Detalle!$C$2:$C$687,$B97)</f>
        <v>0.877</v>
      </c>
      <c r="F97" s="5">
        <f>_xlfn.MAXIFS(Detalle!$D$2:$D$687,Detalle!$A$2:$A$687,$A97,Detalle!$C$2:$C$687,$B97)</f>
        <v>0.93600000000000005</v>
      </c>
      <c r="G97" s="5">
        <f>AVERAGEIFS(Detalle!$F$2:$F$687,Detalle!$A$2:$A$687,$A97,Detalle!$C$2:$C$687,$B97)</f>
        <v>109.05449999999999</v>
      </c>
      <c r="H97" s="5">
        <f>_xlfn.MINIFS(Detalle!$F$2:$F$687,Detalle!$A$2:$A$687,$A97,Detalle!$C$2:$C$687,$B97)</f>
        <v>103.479</v>
      </c>
      <c r="I97" s="5">
        <f>_xlfn.MAXIFS(Detalle!$F$2:$F$687,Detalle!$A$2:$A$687,$A97,Detalle!$C$2:$C$687,$B97)</f>
        <v>114.63</v>
      </c>
    </row>
    <row r="98" spans="1:9" x14ac:dyDescent="0.25">
      <c r="A98" s="3">
        <v>5</v>
      </c>
      <c r="B98" s="3" t="s">
        <v>26</v>
      </c>
      <c r="C98" s="4">
        <f>COUNTIFS(Detalle!$A$2:$A$687,$A98,Detalle!$C$2:$C$687,$B98)</f>
        <v>1</v>
      </c>
      <c r="D98" s="5">
        <f>AVERAGEIFS(Detalle!$D$2:$D$687,Detalle!$A$2:$A$687,$A98,Detalle!$C$2:$C$687,$B98)</f>
        <v>0.90200000000000002</v>
      </c>
      <c r="E98" s="5">
        <f>_xlfn.MINIFS(Detalle!$D$2:$D$687,Detalle!$A$2:$A$687,$A98,Detalle!$C$2:$C$687,$B98)</f>
        <v>0.90200000000000002</v>
      </c>
      <c r="F98" s="5">
        <f>_xlfn.MAXIFS(Detalle!$D$2:$D$687,Detalle!$A$2:$A$687,$A98,Detalle!$C$2:$C$687,$B98)</f>
        <v>0.90200000000000002</v>
      </c>
      <c r="G98" s="5">
        <f>AVERAGEIFS(Detalle!$F$2:$F$687,Detalle!$A$2:$A$687,$A98,Detalle!$C$2:$C$687,$B98)</f>
        <v>88.796999999999997</v>
      </c>
      <c r="H98" s="5">
        <f>_xlfn.MINIFS(Detalle!$F$2:$F$687,Detalle!$A$2:$A$687,$A98,Detalle!$C$2:$C$687,$B98)</f>
        <v>88.796999999999997</v>
      </c>
      <c r="I98" s="5">
        <f>_xlfn.MAXIFS(Detalle!$F$2:$F$687,Detalle!$A$2:$A$687,$A98,Detalle!$C$2:$C$687,$B98)</f>
        <v>88.796999999999997</v>
      </c>
    </row>
    <row r="99" spans="1:9" x14ac:dyDescent="0.25">
      <c r="A99" s="3">
        <v>5</v>
      </c>
      <c r="B99" s="3" t="s">
        <v>33</v>
      </c>
      <c r="C99" s="4">
        <f>COUNTIFS(Detalle!$A$2:$A$687,$A99,Detalle!$C$2:$C$687,$B99)</f>
        <v>2</v>
      </c>
      <c r="D99" s="5">
        <f>AVERAGEIFS(Detalle!$D$2:$D$687,Detalle!$A$2:$A$687,$A99,Detalle!$C$2:$C$687,$B99)</f>
        <v>0.83949999999999991</v>
      </c>
      <c r="E99" s="5">
        <f>_xlfn.MINIFS(Detalle!$D$2:$D$687,Detalle!$A$2:$A$687,$A99,Detalle!$C$2:$C$687,$B99)</f>
        <v>0.82099999999999995</v>
      </c>
      <c r="F99" s="5">
        <f>_xlfn.MAXIFS(Detalle!$D$2:$D$687,Detalle!$A$2:$A$687,$A99,Detalle!$C$2:$C$687,$B99)</f>
        <v>0.85799999999999998</v>
      </c>
      <c r="G99" s="5">
        <f>AVERAGEIFS(Detalle!$F$2:$F$687,Detalle!$A$2:$A$687,$A99,Detalle!$C$2:$C$687,$B99)</f>
        <v>123.92700000000001</v>
      </c>
      <c r="H99" s="5">
        <f>_xlfn.MINIFS(Detalle!$F$2:$F$687,Detalle!$A$2:$A$687,$A99,Detalle!$C$2:$C$687,$B99)</f>
        <v>116.38200000000001</v>
      </c>
      <c r="I99" s="5">
        <f>_xlfn.MAXIFS(Detalle!$F$2:$F$687,Detalle!$A$2:$A$687,$A99,Detalle!$C$2:$C$687,$B99)</f>
        <v>131.47200000000001</v>
      </c>
    </row>
    <row r="100" spans="1:9" x14ac:dyDescent="0.25">
      <c r="A100" s="3">
        <v>5</v>
      </c>
      <c r="B100" s="3" t="s">
        <v>30</v>
      </c>
      <c r="C100" s="4">
        <f>COUNTIFS(Detalle!$A$2:$A$687,$A100,Detalle!$C$2:$C$687,$B100)</f>
        <v>2</v>
      </c>
      <c r="D100" s="5">
        <f>AVERAGEIFS(Detalle!$D$2:$D$687,Detalle!$A$2:$A$687,$A100,Detalle!$C$2:$C$687,$B100)</f>
        <v>0.8254999999999999</v>
      </c>
      <c r="E100" s="5">
        <f>_xlfn.MINIFS(Detalle!$D$2:$D$687,Detalle!$A$2:$A$687,$A100,Detalle!$C$2:$C$687,$B100)</f>
        <v>0.81699999999999995</v>
      </c>
      <c r="F100" s="5">
        <f>_xlfn.MAXIFS(Detalle!$D$2:$D$687,Detalle!$A$2:$A$687,$A100,Detalle!$C$2:$C$687,$B100)</f>
        <v>0.83399999999999996</v>
      </c>
      <c r="G100" s="5">
        <f>AVERAGEIFS(Detalle!$F$2:$F$687,Detalle!$A$2:$A$687,$A100,Detalle!$C$2:$C$687,$B100)</f>
        <v>103.157</v>
      </c>
      <c r="H100" s="5">
        <f>_xlfn.MINIFS(Detalle!$F$2:$F$687,Detalle!$A$2:$A$687,$A100,Detalle!$C$2:$C$687,$B100)</f>
        <v>96.873999999999995</v>
      </c>
      <c r="I100" s="5">
        <f>_xlfn.MAXIFS(Detalle!$F$2:$F$687,Detalle!$A$2:$A$687,$A100,Detalle!$C$2:$C$687,$B100)</f>
        <v>109.44</v>
      </c>
    </row>
    <row r="101" spans="1:9" x14ac:dyDescent="0.25">
      <c r="A101" s="3">
        <v>5</v>
      </c>
      <c r="B101" s="3" t="s">
        <v>27</v>
      </c>
      <c r="C101" s="4">
        <f>COUNTIFS(Detalle!$A$2:$A$687,$A101,Detalle!$C$2:$C$687,$B101)</f>
        <v>4</v>
      </c>
      <c r="D101" s="5">
        <f>AVERAGEIFS(Detalle!$D$2:$D$687,Detalle!$A$2:$A$687,$A101,Detalle!$C$2:$C$687,$B101)</f>
        <v>0.85525000000000007</v>
      </c>
      <c r="E101" s="5">
        <f>_xlfn.MINIFS(Detalle!$D$2:$D$687,Detalle!$A$2:$A$687,$A101,Detalle!$C$2:$C$687,$B101)</f>
        <v>0.68300000000000005</v>
      </c>
      <c r="F101" s="5">
        <f>_xlfn.MAXIFS(Detalle!$D$2:$D$687,Detalle!$A$2:$A$687,$A101,Detalle!$C$2:$C$687,$B101)</f>
        <v>0.99</v>
      </c>
      <c r="G101" s="5">
        <f>AVERAGEIFS(Detalle!$F$2:$F$687,Detalle!$A$2:$A$687,$A101,Detalle!$C$2:$C$687,$B101)</f>
        <v>136.482</v>
      </c>
      <c r="H101" s="5">
        <f>_xlfn.MINIFS(Detalle!$F$2:$F$687,Detalle!$A$2:$A$687,$A101,Detalle!$C$2:$C$687,$B101)</f>
        <v>114.07599999999999</v>
      </c>
      <c r="I101" s="5">
        <f>_xlfn.MAXIFS(Detalle!$F$2:$F$687,Detalle!$A$2:$A$687,$A101,Detalle!$C$2:$C$687,$B101)</f>
        <v>149.126</v>
      </c>
    </row>
    <row r="102" spans="1:9" x14ac:dyDescent="0.25">
      <c r="A102" s="3">
        <v>5</v>
      </c>
      <c r="B102" s="3" t="s">
        <v>32</v>
      </c>
      <c r="C102" s="4">
        <f>COUNTIFS(Detalle!$A$2:$A$687,$A102,Detalle!$C$2:$C$687,$B102)</f>
        <v>5</v>
      </c>
      <c r="D102" s="5">
        <f>AVERAGEIFS(Detalle!$D$2:$D$687,Detalle!$A$2:$A$687,$A102,Detalle!$C$2:$C$687,$B102)</f>
        <v>0.86480000000000001</v>
      </c>
      <c r="E102" s="5">
        <f>_xlfn.MINIFS(Detalle!$D$2:$D$687,Detalle!$A$2:$A$687,$A102,Detalle!$C$2:$C$687,$B102)</f>
        <v>0.81100000000000005</v>
      </c>
      <c r="F102" s="5">
        <f>_xlfn.MAXIFS(Detalle!$D$2:$D$687,Detalle!$A$2:$A$687,$A102,Detalle!$C$2:$C$687,$B102)</f>
        <v>0.93700000000000006</v>
      </c>
      <c r="G102" s="5">
        <f>AVERAGEIFS(Detalle!$F$2:$F$687,Detalle!$A$2:$A$687,$A102,Detalle!$C$2:$C$687,$B102)</f>
        <v>118.11359999999999</v>
      </c>
      <c r="H102" s="5">
        <f>_xlfn.MINIFS(Detalle!$F$2:$F$687,Detalle!$A$2:$A$687,$A102,Detalle!$C$2:$C$687,$B102)</f>
        <v>85</v>
      </c>
      <c r="I102" s="5">
        <f>_xlfn.MAXIFS(Detalle!$F$2:$F$687,Detalle!$A$2:$A$687,$A102,Detalle!$C$2:$C$687,$B102)</f>
        <v>147.66999999999999</v>
      </c>
    </row>
    <row r="103" spans="1:9" x14ac:dyDescent="0.25">
      <c r="A103" s="3">
        <v>5</v>
      </c>
      <c r="B103" s="3" t="s">
        <v>24</v>
      </c>
      <c r="C103" s="4">
        <f>COUNTIFS(Detalle!$A$2:$A$687,$A103,Detalle!$C$2:$C$687,$B103)</f>
        <v>1</v>
      </c>
      <c r="D103" s="5">
        <f>AVERAGEIFS(Detalle!$D$2:$D$687,Detalle!$A$2:$A$687,$A103,Detalle!$C$2:$C$687,$B103)</f>
        <v>0.84099999999999997</v>
      </c>
      <c r="E103" s="5">
        <f>_xlfn.MINIFS(Detalle!$D$2:$D$687,Detalle!$A$2:$A$687,$A103,Detalle!$C$2:$C$687,$B103)</f>
        <v>0.84099999999999997</v>
      </c>
      <c r="F103" s="5">
        <f>_xlfn.MAXIFS(Detalle!$D$2:$D$687,Detalle!$A$2:$A$687,$A103,Detalle!$C$2:$C$687,$B103)</f>
        <v>0.84099999999999997</v>
      </c>
      <c r="G103" s="5">
        <f>AVERAGEIFS(Detalle!$F$2:$F$687,Detalle!$A$2:$A$687,$A103,Detalle!$C$2:$C$687,$B103)</f>
        <v>129.965</v>
      </c>
      <c r="H103" s="5">
        <f>_xlfn.MINIFS(Detalle!$F$2:$F$687,Detalle!$A$2:$A$687,$A103,Detalle!$C$2:$C$687,$B103)</f>
        <v>129.965</v>
      </c>
      <c r="I103" s="5">
        <f>_xlfn.MAXIFS(Detalle!$F$2:$F$687,Detalle!$A$2:$A$687,$A103,Detalle!$C$2:$C$687,$B103)</f>
        <v>129.965</v>
      </c>
    </row>
    <row r="104" spans="1:9" x14ac:dyDescent="0.25">
      <c r="A104" s="3">
        <v>5</v>
      </c>
      <c r="B104" s="3" t="s">
        <v>39</v>
      </c>
      <c r="C104" s="4">
        <f>COUNTIFS(Detalle!$A$2:$A$687,$A104,Detalle!$C$2:$C$687,$B104)</f>
        <v>1</v>
      </c>
      <c r="D104" s="5">
        <f>AVERAGEIFS(Detalle!$D$2:$D$687,Detalle!$A$2:$A$687,$A104,Detalle!$C$2:$C$687,$B104)</f>
        <v>0.86499999999999999</v>
      </c>
      <c r="E104" s="5">
        <f>_xlfn.MINIFS(Detalle!$D$2:$D$687,Detalle!$A$2:$A$687,$A104,Detalle!$C$2:$C$687,$B104)</f>
        <v>0.86499999999999999</v>
      </c>
      <c r="F104" s="5">
        <f>_xlfn.MAXIFS(Detalle!$D$2:$D$687,Detalle!$A$2:$A$687,$A104,Detalle!$C$2:$C$687,$B104)</f>
        <v>0.86499999999999999</v>
      </c>
      <c r="G104" s="5">
        <f>AVERAGEIFS(Detalle!$F$2:$F$687,Detalle!$A$2:$A$687,$A104,Detalle!$C$2:$C$687,$B104)</f>
        <v>106.404</v>
      </c>
      <c r="H104" s="5">
        <f>_xlfn.MINIFS(Detalle!$F$2:$F$687,Detalle!$A$2:$A$687,$A104,Detalle!$C$2:$C$687,$B104)</f>
        <v>106.404</v>
      </c>
      <c r="I104" s="5">
        <f>_xlfn.MAXIFS(Detalle!$F$2:$F$687,Detalle!$A$2:$A$687,$A104,Detalle!$C$2:$C$687,$B104)</f>
        <v>106.404</v>
      </c>
    </row>
    <row r="105" spans="1:9" x14ac:dyDescent="0.25">
      <c r="A105" s="3">
        <v>5</v>
      </c>
      <c r="B105" s="3" t="s">
        <v>19</v>
      </c>
      <c r="C105" s="4">
        <f>COUNTIFS(Detalle!$A$2:$A$687,$A105,Detalle!$C$2:$C$687,$B105)</f>
        <v>1</v>
      </c>
      <c r="D105" s="5">
        <f>AVERAGEIFS(Detalle!$D$2:$D$687,Detalle!$A$2:$A$687,$A105,Detalle!$C$2:$C$687,$B105)</f>
        <v>0.90100000000000002</v>
      </c>
      <c r="E105" s="5">
        <f>_xlfn.MINIFS(Detalle!$D$2:$D$687,Detalle!$A$2:$A$687,$A105,Detalle!$C$2:$C$687,$B105)</f>
        <v>0.90100000000000002</v>
      </c>
      <c r="F105" s="5">
        <f>_xlfn.MAXIFS(Detalle!$D$2:$D$687,Detalle!$A$2:$A$687,$A105,Detalle!$C$2:$C$687,$B105)</f>
        <v>0.90100000000000002</v>
      </c>
      <c r="G105" s="5">
        <f>AVERAGEIFS(Detalle!$F$2:$F$687,Detalle!$A$2:$A$687,$A105,Detalle!$C$2:$C$687,$B105)</f>
        <v>137.49600000000001</v>
      </c>
      <c r="H105" s="5">
        <f>_xlfn.MINIFS(Detalle!$F$2:$F$687,Detalle!$A$2:$A$687,$A105,Detalle!$C$2:$C$687,$B105)</f>
        <v>137.49600000000001</v>
      </c>
      <c r="I105" s="5">
        <f>_xlfn.MAXIFS(Detalle!$F$2:$F$687,Detalle!$A$2:$A$687,$A105,Detalle!$C$2:$C$687,$B105)</f>
        <v>137.49600000000001</v>
      </c>
    </row>
    <row r="106" spans="1:9" x14ac:dyDescent="0.25">
      <c r="A106" s="3">
        <v>5</v>
      </c>
      <c r="B106" s="3" t="s">
        <v>11</v>
      </c>
      <c r="C106" s="4">
        <f>COUNTIFS(Detalle!$A$2:$A$687,$A106,Detalle!$C$2:$C$687,$B106)</f>
        <v>2</v>
      </c>
      <c r="D106" s="5">
        <f>AVERAGEIFS(Detalle!$D$2:$D$687,Detalle!$A$2:$A$687,$A106,Detalle!$C$2:$C$687,$B106)</f>
        <v>0.84600000000000009</v>
      </c>
      <c r="E106" s="5">
        <f>_xlfn.MINIFS(Detalle!$D$2:$D$687,Detalle!$A$2:$A$687,$A106,Detalle!$C$2:$C$687,$B106)</f>
        <v>0.77500000000000002</v>
      </c>
      <c r="F106" s="5">
        <f>_xlfn.MAXIFS(Detalle!$D$2:$D$687,Detalle!$A$2:$A$687,$A106,Detalle!$C$2:$C$687,$B106)</f>
        <v>0.91700000000000004</v>
      </c>
      <c r="G106" s="5">
        <f>AVERAGEIFS(Detalle!$F$2:$F$687,Detalle!$A$2:$A$687,$A106,Detalle!$C$2:$C$687,$B106)</f>
        <v>152.26400000000001</v>
      </c>
      <c r="H106" s="5">
        <f>_xlfn.MINIFS(Detalle!$F$2:$F$687,Detalle!$A$2:$A$687,$A106,Detalle!$C$2:$C$687,$B106)</f>
        <v>140.84700000000001</v>
      </c>
      <c r="I106" s="5">
        <f>_xlfn.MAXIFS(Detalle!$F$2:$F$687,Detalle!$A$2:$A$687,$A106,Detalle!$C$2:$C$687,$B106)</f>
        <v>163.68100000000001</v>
      </c>
    </row>
    <row r="107" spans="1:9" x14ac:dyDescent="0.25">
      <c r="A107" s="3">
        <v>5</v>
      </c>
      <c r="B107" s="3" t="s">
        <v>36</v>
      </c>
      <c r="C107" s="4">
        <f>COUNTIFS(Detalle!$A$2:$A$687,$A107,Detalle!$C$2:$C$687,$B107)</f>
        <v>1</v>
      </c>
      <c r="D107" s="5">
        <f>AVERAGEIFS(Detalle!$D$2:$D$687,Detalle!$A$2:$A$687,$A107,Detalle!$C$2:$C$687,$B107)</f>
        <v>0.88200000000000001</v>
      </c>
      <c r="E107" s="5">
        <f>_xlfn.MINIFS(Detalle!$D$2:$D$687,Detalle!$A$2:$A$687,$A107,Detalle!$C$2:$C$687,$B107)</f>
        <v>0.88200000000000001</v>
      </c>
      <c r="F107" s="5">
        <f>_xlfn.MAXIFS(Detalle!$D$2:$D$687,Detalle!$A$2:$A$687,$A107,Detalle!$C$2:$C$687,$B107)</f>
        <v>0.88200000000000001</v>
      </c>
      <c r="G107" s="5">
        <f>AVERAGEIFS(Detalle!$F$2:$F$687,Detalle!$A$2:$A$687,$A107,Detalle!$C$2:$C$687,$B107)</f>
        <v>109.565</v>
      </c>
      <c r="H107" s="5">
        <f>_xlfn.MINIFS(Detalle!$F$2:$F$687,Detalle!$A$2:$A$687,$A107,Detalle!$C$2:$C$687,$B107)</f>
        <v>109.565</v>
      </c>
      <c r="I107" s="5">
        <f>_xlfn.MAXIFS(Detalle!$F$2:$F$687,Detalle!$A$2:$A$687,$A107,Detalle!$C$2:$C$687,$B107)</f>
        <v>109.565</v>
      </c>
    </row>
    <row r="108" spans="1:9" x14ac:dyDescent="0.25">
      <c r="A108" s="3">
        <v>5</v>
      </c>
      <c r="B108" s="3" t="s">
        <v>15</v>
      </c>
      <c r="C108" s="4">
        <f>COUNTIFS(Detalle!$A$2:$A$687,$A108,Detalle!$C$2:$C$687,$B108)</f>
        <v>3</v>
      </c>
      <c r="D108" s="5">
        <f>AVERAGEIFS(Detalle!$D$2:$D$687,Detalle!$A$2:$A$687,$A108,Detalle!$C$2:$C$687,$B108)</f>
        <v>0.89500000000000002</v>
      </c>
      <c r="E108" s="5">
        <f>_xlfn.MINIFS(Detalle!$D$2:$D$687,Detalle!$A$2:$A$687,$A108,Detalle!$C$2:$C$687,$B108)</f>
        <v>0.84399999999999997</v>
      </c>
      <c r="F108" s="5">
        <f>_xlfn.MAXIFS(Detalle!$D$2:$D$687,Detalle!$A$2:$A$687,$A108,Detalle!$C$2:$C$687,$B108)</f>
        <v>0.96</v>
      </c>
      <c r="G108" s="5">
        <f>AVERAGEIFS(Detalle!$F$2:$F$687,Detalle!$A$2:$A$687,$A108,Detalle!$C$2:$C$687,$B108)</f>
        <v>132.71866666666665</v>
      </c>
      <c r="H108" s="5">
        <f>_xlfn.MINIFS(Detalle!$F$2:$F$687,Detalle!$A$2:$A$687,$A108,Detalle!$C$2:$C$687,$B108)</f>
        <v>127.161</v>
      </c>
      <c r="I108" s="5">
        <f>_xlfn.MAXIFS(Detalle!$F$2:$F$687,Detalle!$A$2:$A$687,$A108,Detalle!$C$2:$C$687,$B108)</f>
        <v>135.715</v>
      </c>
    </row>
    <row r="109" spans="1:9" x14ac:dyDescent="0.25">
      <c r="A109" s="3">
        <v>5</v>
      </c>
      <c r="B109" s="3" t="s">
        <v>18</v>
      </c>
      <c r="C109" s="4">
        <f>COUNTIFS(Detalle!$A$2:$A$687,$A109,Detalle!$C$2:$C$687,$B109)</f>
        <v>1</v>
      </c>
      <c r="D109" s="5">
        <f>AVERAGEIFS(Detalle!$D$2:$D$687,Detalle!$A$2:$A$687,$A109,Detalle!$C$2:$C$687,$B109)</f>
        <v>0.89500000000000002</v>
      </c>
      <c r="E109" s="5">
        <f>_xlfn.MINIFS(Detalle!$D$2:$D$687,Detalle!$A$2:$A$687,$A109,Detalle!$C$2:$C$687,$B109)</f>
        <v>0.89500000000000002</v>
      </c>
      <c r="F109" s="5">
        <f>_xlfn.MAXIFS(Detalle!$D$2:$D$687,Detalle!$A$2:$A$687,$A109,Detalle!$C$2:$C$687,$B109)</f>
        <v>0.89500000000000002</v>
      </c>
      <c r="G109" s="5">
        <f>AVERAGEIFS(Detalle!$F$2:$F$687,Detalle!$A$2:$A$687,$A109,Detalle!$C$2:$C$687,$B109)</f>
        <v>98.192999999999998</v>
      </c>
      <c r="H109" s="5">
        <f>_xlfn.MINIFS(Detalle!$F$2:$F$687,Detalle!$A$2:$A$687,$A109,Detalle!$C$2:$C$687,$B109)</f>
        <v>98.192999999999998</v>
      </c>
      <c r="I109" s="5">
        <f>_xlfn.MAXIFS(Detalle!$F$2:$F$687,Detalle!$A$2:$A$687,$A109,Detalle!$C$2:$C$687,$B109)</f>
        <v>98.192999999999998</v>
      </c>
    </row>
    <row r="110" spans="1:9" x14ac:dyDescent="0.25">
      <c r="A110" s="3">
        <v>5</v>
      </c>
      <c r="B110" s="3" t="s">
        <v>17</v>
      </c>
      <c r="C110" s="4">
        <f>COUNTIFS(Detalle!$A$2:$A$687,$A110,Detalle!$C$2:$C$687,$B110)</f>
        <v>2</v>
      </c>
      <c r="D110" s="5">
        <f>AVERAGEIFS(Detalle!$D$2:$D$687,Detalle!$A$2:$A$687,$A110,Detalle!$C$2:$C$687,$B110)</f>
        <v>0.88149999999999995</v>
      </c>
      <c r="E110" s="5">
        <f>_xlfn.MINIFS(Detalle!$D$2:$D$687,Detalle!$A$2:$A$687,$A110,Detalle!$C$2:$C$687,$B110)</f>
        <v>0.86699999999999999</v>
      </c>
      <c r="F110" s="5">
        <f>_xlfn.MAXIFS(Detalle!$D$2:$D$687,Detalle!$A$2:$A$687,$A110,Detalle!$C$2:$C$687,$B110)</f>
        <v>0.89600000000000002</v>
      </c>
      <c r="G110" s="5">
        <f>AVERAGEIFS(Detalle!$F$2:$F$687,Detalle!$A$2:$A$687,$A110,Detalle!$C$2:$C$687,$B110)</f>
        <v>130.37700000000001</v>
      </c>
      <c r="H110" s="5">
        <f>_xlfn.MINIFS(Detalle!$F$2:$F$687,Detalle!$A$2:$A$687,$A110,Detalle!$C$2:$C$687,$B110)</f>
        <v>123.124</v>
      </c>
      <c r="I110" s="5">
        <f>_xlfn.MAXIFS(Detalle!$F$2:$F$687,Detalle!$A$2:$A$687,$A110,Detalle!$C$2:$C$687,$B110)</f>
        <v>137.63</v>
      </c>
    </row>
    <row r="111" spans="1:9" x14ac:dyDescent="0.25">
      <c r="A111" s="3">
        <v>5</v>
      </c>
      <c r="B111" s="3" t="s">
        <v>34</v>
      </c>
      <c r="C111" s="4">
        <f>COUNTIFS(Detalle!$A$2:$A$687,$A111,Detalle!$C$2:$C$687,$B111)</f>
        <v>1</v>
      </c>
      <c r="D111" s="5">
        <f>AVERAGEIFS(Detalle!$D$2:$D$687,Detalle!$A$2:$A$687,$A111,Detalle!$C$2:$C$687,$B111)</f>
        <v>0.71699999999999997</v>
      </c>
      <c r="E111" s="5">
        <f>_xlfn.MINIFS(Detalle!$D$2:$D$687,Detalle!$A$2:$A$687,$A111,Detalle!$C$2:$C$687,$B111)</f>
        <v>0.71699999999999997</v>
      </c>
      <c r="F111" s="5">
        <f>_xlfn.MAXIFS(Detalle!$D$2:$D$687,Detalle!$A$2:$A$687,$A111,Detalle!$C$2:$C$687,$B111)</f>
        <v>0.71699999999999997</v>
      </c>
      <c r="G111" s="5">
        <f>AVERAGEIFS(Detalle!$F$2:$F$687,Detalle!$A$2:$A$687,$A111,Detalle!$C$2:$C$687,$B111)</f>
        <v>141.69200000000001</v>
      </c>
      <c r="H111" s="5">
        <f>_xlfn.MINIFS(Detalle!$F$2:$F$687,Detalle!$A$2:$A$687,$A111,Detalle!$C$2:$C$687,$B111)</f>
        <v>141.69200000000001</v>
      </c>
      <c r="I111" s="5">
        <f>_xlfn.MAXIFS(Detalle!$F$2:$F$687,Detalle!$A$2:$A$687,$A111,Detalle!$C$2:$C$687,$B111)</f>
        <v>141.69200000000001</v>
      </c>
    </row>
    <row r="112" spans="1:9" x14ac:dyDescent="0.25">
      <c r="A112" s="3">
        <v>5</v>
      </c>
      <c r="B112" s="3" t="s">
        <v>16</v>
      </c>
      <c r="C112" s="4">
        <f>COUNTIFS(Detalle!$A$2:$A$687,$A112,Detalle!$C$2:$C$687,$B112)</f>
        <v>1</v>
      </c>
      <c r="D112" s="5">
        <f>AVERAGEIFS(Detalle!$D$2:$D$687,Detalle!$A$2:$A$687,$A112,Detalle!$C$2:$C$687,$B112)</f>
        <v>0.83399999999999996</v>
      </c>
      <c r="E112" s="5">
        <f>_xlfn.MINIFS(Detalle!$D$2:$D$687,Detalle!$A$2:$A$687,$A112,Detalle!$C$2:$C$687,$B112)</f>
        <v>0.83399999999999996</v>
      </c>
      <c r="F112" s="5">
        <f>_xlfn.MAXIFS(Detalle!$D$2:$D$687,Detalle!$A$2:$A$687,$A112,Detalle!$C$2:$C$687,$B112)</f>
        <v>0.83399999999999996</v>
      </c>
      <c r="G112" s="5">
        <f>AVERAGEIFS(Detalle!$F$2:$F$687,Detalle!$A$2:$A$687,$A112,Detalle!$C$2:$C$687,$B112)</f>
        <v>140.78200000000001</v>
      </c>
      <c r="H112" s="5">
        <f>_xlfn.MINIFS(Detalle!$F$2:$F$687,Detalle!$A$2:$A$687,$A112,Detalle!$C$2:$C$687,$B112)</f>
        <v>140.78200000000001</v>
      </c>
      <c r="I112" s="5">
        <f>_xlfn.MAXIFS(Detalle!$F$2:$F$687,Detalle!$A$2:$A$687,$A112,Detalle!$C$2:$C$687,$B112)</f>
        <v>140.78200000000001</v>
      </c>
    </row>
    <row r="113" spans="1:9" x14ac:dyDescent="0.25">
      <c r="A113" s="3">
        <v>5</v>
      </c>
      <c r="B113" s="3" t="s">
        <v>13</v>
      </c>
      <c r="C113" s="4">
        <f>COUNTIFS(Detalle!$A$2:$A$687,$A113,Detalle!$C$2:$C$687,$B113)</f>
        <v>1</v>
      </c>
      <c r="D113" s="5">
        <f>AVERAGEIFS(Detalle!$D$2:$D$687,Detalle!$A$2:$A$687,$A113,Detalle!$C$2:$C$687,$B113)</f>
        <v>0.66100000000000003</v>
      </c>
      <c r="E113" s="5">
        <f>_xlfn.MINIFS(Detalle!$D$2:$D$687,Detalle!$A$2:$A$687,$A113,Detalle!$C$2:$C$687,$B113)</f>
        <v>0.66100000000000003</v>
      </c>
      <c r="F113" s="5">
        <f>_xlfn.MAXIFS(Detalle!$D$2:$D$687,Detalle!$A$2:$A$687,$A113,Detalle!$C$2:$C$687,$B113)</f>
        <v>0.66100000000000003</v>
      </c>
      <c r="G113" s="5">
        <f>AVERAGEIFS(Detalle!$F$2:$F$687,Detalle!$A$2:$A$687,$A113,Detalle!$C$2:$C$687,$B113)</f>
        <v>103.666</v>
      </c>
      <c r="H113" s="5">
        <f>_xlfn.MINIFS(Detalle!$F$2:$F$687,Detalle!$A$2:$A$687,$A113,Detalle!$C$2:$C$687,$B113)</f>
        <v>103.666</v>
      </c>
      <c r="I113" s="5">
        <f>_xlfn.MAXIFS(Detalle!$F$2:$F$687,Detalle!$A$2:$A$687,$A113,Detalle!$C$2:$C$687,$B113)</f>
        <v>103.666</v>
      </c>
    </row>
    <row r="114" spans="1:9" x14ac:dyDescent="0.25">
      <c r="A114" s="3">
        <v>5</v>
      </c>
      <c r="B114" s="3" t="s">
        <v>37</v>
      </c>
      <c r="C114" s="4">
        <f>COUNTIFS(Detalle!$A$2:$A$687,$A114,Detalle!$C$2:$C$687,$B114)</f>
        <v>3</v>
      </c>
      <c r="D114" s="5">
        <f>AVERAGEIFS(Detalle!$D$2:$D$687,Detalle!$A$2:$A$687,$A114,Detalle!$C$2:$C$687,$B114)</f>
        <v>0.8833333333333333</v>
      </c>
      <c r="E114" s="5">
        <f>_xlfn.MINIFS(Detalle!$D$2:$D$687,Detalle!$A$2:$A$687,$A114,Detalle!$C$2:$C$687,$B114)</f>
        <v>0.83</v>
      </c>
      <c r="F114" s="5">
        <f>_xlfn.MAXIFS(Detalle!$D$2:$D$687,Detalle!$A$2:$A$687,$A114,Detalle!$C$2:$C$687,$B114)</f>
        <v>0.96</v>
      </c>
      <c r="G114" s="5">
        <f>AVERAGEIFS(Detalle!$F$2:$F$687,Detalle!$A$2:$A$687,$A114,Detalle!$C$2:$C$687,$B114)</f>
        <v>123.11866666666667</v>
      </c>
      <c r="H114" s="5">
        <f>_xlfn.MINIFS(Detalle!$F$2:$F$687,Detalle!$A$2:$A$687,$A114,Detalle!$C$2:$C$687,$B114)</f>
        <v>113.17700000000001</v>
      </c>
      <c r="I114" s="5">
        <f>_xlfn.MAXIFS(Detalle!$F$2:$F$687,Detalle!$A$2:$A$687,$A114,Detalle!$C$2:$C$687,$B114)</f>
        <v>130.5</v>
      </c>
    </row>
    <row r="115" spans="1:9" x14ac:dyDescent="0.25">
      <c r="A115" s="3">
        <v>5</v>
      </c>
      <c r="B115" s="3" t="s">
        <v>21</v>
      </c>
      <c r="C115" s="4">
        <f>COUNTIFS(Detalle!$A$2:$A$687,$A115,Detalle!$C$2:$C$687,$B115)</f>
        <v>2</v>
      </c>
      <c r="D115" s="5">
        <f>AVERAGEIFS(Detalle!$D$2:$D$687,Detalle!$A$2:$A$687,$A115,Detalle!$C$2:$C$687,$B115)</f>
        <v>0.81499999999999995</v>
      </c>
      <c r="E115" s="5">
        <f>_xlfn.MINIFS(Detalle!$D$2:$D$687,Detalle!$A$2:$A$687,$A115,Detalle!$C$2:$C$687,$B115)</f>
        <v>0.80200000000000005</v>
      </c>
      <c r="F115" s="5">
        <f>_xlfn.MAXIFS(Detalle!$D$2:$D$687,Detalle!$A$2:$A$687,$A115,Detalle!$C$2:$C$687,$B115)</f>
        <v>0.82799999999999996</v>
      </c>
      <c r="G115" s="5">
        <f>AVERAGEIFS(Detalle!$F$2:$F$687,Detalle!$A$2:$A$687,$A115,Detalle!$C$2:$C$687,$B115)</f>
        <v>109.38</v>
      </c>
      <c r="H115" s="5">
        <f>_xlfn.MINIFS(Detalle!$F$2:$F$687,Detalle!$A$2:$A$687,$A115,Detalle!$C$2:$C$687,$B115)</f>
        <v>107.93300000000001</v>
      </c>
      <c r="I115" s="5">
        <f>_xlfn.MAXIFS(Detalle!$F$2:$F$687,Detalle!$A$2:$A$687,$A115,Detalle!$C$2:$C$687,$B115)</f>
        <v>110.827</v>
      </c>
    </row>
    <row r="116" spans="1:9" x14ac:dyDescent="0.25">
      <c r="A116" s="3">
        <v>5</v>
      </c>
      <c r="B116" s="3" t="s">
        <v>20</v>
      </c>
      <c r="C116" s="4">
        <f>COUNTIFS(Detalle!$A$2:$A$687,$A116,Detalle!$C$2:$C$687,$B116)</f>
        <v>1</v>
      </c>
      <c r="D116" s="5">
        <f>AVERAGEIFS(Detalle!$D$2:$D$687,Detalle!$A$2:$A$687,$A116,Detalle!$C$2:$C$687,$B116)</f>
        <v>0.90100000000000002</v>
      </c>
      <c r="E116" s="5">
        <f>_xlfn.MINIFS(Detalle!$D$2:$D$687,Detalle!$A$2:$A$687,$A116,Detalle!$C$2:$C$687,$B116)</f>
        <v>0.90100000000000002</v>
      </c>
      <c r="F116" s="5">
        <f>_xlfn.MAXIFS(Detalle!$D$2:$D$687,Detalle!$A$2:$A$687,$A116,Detalle!$C$2:$C$687,$B116)</f>
        <v>0.90100000000000002</v>
      </c>
      <c r="G116" s="5">
        <f>AVERAGEIFS(Detalle!$F$2:$F$687,Detalle!$A$2:$A$687,$A116,Detalle!$C$2:$C$687,$B116)</f>
        <v>103.26</v>
      </c>
      <c r="H116" s="5">
        <f>_xlfn.MINIFS(Detalle!$F$2:$F$687,Detalle!$A$2:$A$687,$A116,Detalle!$C$2:$C$687,$B116)</f>
        <v>103.26</v>
      </c>
      <c r="I116" s="5">
        <f>_xlfn.MAXIFS(Detalle!$F$2:$F$687,Detalle!$A$2:$A$687,$A116,Detalle!$C$2:$C$687,$B116)</f>
        <v>103.26</v>
      </c>
    </row>
    <row r="117" spans="1:9" x14ac:dyDescent="0.25">
      <c r="A117" s="3">
        <v>6</v>
      </c>
      <c r="B117" s="3" t="s">
        <v>38</v>
      </c>
      <c r="C117" s="4">
        <f>COUNTIFS(Detalle!$A$2:$A$687,$A117,Detalle!$C$2:$C$687,$B117)</f>
        <v>1</v>
      </c>
      <c r="D117" s="5">
        <f>AVERAGEIFS(Detalle!$D$2:$D$687,Detalle!$A$2:$A$687,$A117,Detalle!$C$2:$C$687,$B117)</f>
        <v>0.90300000000000002</v>
      </c>
      <c r="E117" s="5">
        <f>_xlfn.MINIFS(Detalle!$D$2:$D$687,Detalle!$A$2:$A$687,$A117,Detalle!$C$2:$C$687,$B117)</f>
        <v>0.90300000000000002</v>
      </c>
      <c r="F117" s="5">
        <f>_xlfn.MAXIFS(Detalle!$D$2:$D$687,Detalle!$A$2:$A$687,$A117,Detalle!$C$2:$C$687,$B117)</f>
        <v>0.90300000000000002</v>
      </c>
      <c r="G117" s="5">
        <f>AVERAGEIFS(Detalle!$F$2:$F$687,Detalle!$A$2:$A$687,$A117,Detalle!$C$2:$C$687,$B117)</f>
        <v>148.38</v>
      </c>
      <c r="H117" s="5">
        <f>_xlfn.MINIFS(Detalle!$F$2:$F$687,Detalle!$A$2:$A$687,$A117,Detalle!$C$2:$C$687,$B117)</f>
        <v>148.38</v>
      </c>
      <c r="I117" s="5">
        <f>_xlfn.MAXIFS(Detalle!$F$2:$F$687,Detalle!$A$2:$A$687,$A117,Detalle!$C$2:$C$687,$B117)</f>
        <v>148.38</v>
      </c>
    </row>
    <row r="118" spans="1:9" x14ac:dyDescent="0.25">
      <c r="A118" s="3">
        <v>6</v>
      </c>
      <c r="B118" s="3" t="s">
        <v>23</v>
      </c>
      <c r="C118" s="4">
        <f>COUNTIFS(Detalle!$A$2:$A$687,$A118,Detalle!$C$2:$C$687,$B118)</f>
        <v>1</v>
      </c>
      <c r="D118" s="5">
        <f>AVERAGEIFS(Detalle!$D$2:$D$687,Detalle!$A$2:$A$687,$A118,Detalle!$C$2:$C$687,$B118)</f>
        <v>0.88100000000000001</v>
      </c>
      <c r="E118" s="5">
        <f>_xlfn.MINIFS(Detalle!$D$2:$D$687,Detalle!$A$2:$A$687,$A118,Detalle!$C$2:$C$687,$B118)</f>
        <v>0.88100000000000001</v>
      </c>
      <c r="F118" s="5">
        <f>_xlfn.MAXIFS(Detalle!$D$2:$D$687,Detalle!$A$2:$A$687,$A118,Detalle!$C$2:$C$687,$B118)</f>
        <v>0.88100000000000001</v>
      </c>
      <c r="G118" s="5">
        <f>AVERAGEIFS(Detalle!$F$2:$F$687,Detalle!$A$2:$A$687,$A118,Detalle!$C$2:$C$687,$B118)</f>
        <v>126.419</v>
      </c>
      <c r="H118" s="5">
        <f>_xlfn.MINIFS(Detalle!$F$2:$F$687,Detalle!$A$2:$A$687,$A118,Detalle!$C$2:$C$687,$B118)</f>
        <v>126.419</v>
      </c>
      <c r="I118" s="5">
        <f>_xlfn.MAXIFS(Detalle!$F$2:$F$687,Detalle!$A$2:$A$687,$A118,Detalle!$C$2:$C$687,$B118)</f>
        <v>126.419</v>
      </c>
    </row>
    <row r="119" spans="1:9" x14ac:dyDescent="0.25">
      <c r="A119" s="3">
        <v>6</v>
      </c>
      <c r="B119" s="3" t="s">
        <v>25</v>
      </c>
      <c r="C119" s="4">
        <f>COUNTIFS(Detalle!$A$2:$A$687,$A119,Detalle!$C$2:$C$687,$B119)</f>
        <v>4</v>
      </c>
      <c r="D119" s="5">
        <f>AVERAGEIFS(Detalle!$D$2:$D$687,Detalle!$A$2:$A$687,$A119,Detalle!$C$2:$C$687,$B119)</f>
        <v>0.84274999999999989</v>
      </c>
      <c r="E119" s="5">
        <f>_xlfn.MINIFS(Detalle!$D$2:$D$687,Detalle!$A$2:$A$687,$A119,Detalle!$C$2:$C$687,$B119)</f>
        <v>0.79800000000000004</v>
      </c>
      <c r="F119" s="5">
        <f>_xlfn.MAXIFS(Detalle!$D$2:$D$687,Detalle!$A$2:$A$687,$A119,Detalle!$C$2:$C$687,$B119)</f>
        <v>0.92400000000000004</v>
      </c>
      <c r="G119" s="5">
        <f>AVERAGEIFS(Detalle!$F$2:$F$687,Detalle!$A$2:$A$687,$A119,Detalle!$C$2:$C$687,$B119)</f>
        <v>132.28049999999999</v>
      </c>
      <c r="H119" s="5">
        <f>_xlfn.MINIFS(Detalle!$F$2:$F$687,Detalle!$A$2:$A$687,$A119,Detalle!$C$2:$C$687,$B119)</f>
        <v>111.80500000000001</v>
      </c>
      <c r="I119" s="5">
        <f>_xlfn.MAXIFS(Detalle!$F$2:$F$687,Detalle!$A$2:$A$687,$A119,Detalle!$C$2:$C$687,$B119)</f>
        <v>148.571</v>
      </c>
    </row>
    <row r="120" spans="1:9" x14ac:dyDescent="0.25">
      <c r="A120" s="3">
        <v>6</v>
      </c>
      <c r="B120" s="3" t="s">
        <v>29</v>
      </c>
      <c r="C120" s="4">
        <f>COUNTIFS(Detalle!$A$2:$A$687,$A120,Detalle!$C$2:$C$687,$B120)</f>
        <v>1</v>
      </c>
      <c r="D120" s="5">
        <f>AVERAGEIFS(Detalle!$D$2:$D$687,Detalle!$A$2:$A$687,$A120,Detalle!$C$2:$C$687,$B120)</f>
        <v>0.84799999999999998</v>
      </c>
      <c r="E120" s="5">
        <f>_xlfn.MINIFS(Detalle!$D$2:$D$687,Detalle!$A$2:$A$687,$A120,Detalle!$C$2:$C$687,$B120)</f>
        <v>0.84799999999999998</v>
      </c>
      <c r="F120" s="5">
        <f>_xlfn.MAXIFS(Detalle!$D$2:$D$687,Detalle!$A$2:$A$687,$A120,Detalle!$C$2:$C$687,$B120)</f>
        <v>0.84799999999999998</v>
      </c>
      <c r="G120" s="5">
        <f>AVERAGEIFS(Detalle!$F$2:$F$687,Detalle!$A$2:$A$687,$A120,Detalle!$C$2:$C$687,$B120)</f>
        <v>141.089</v>
      </c>
      <c r="H120" s="5">
        <f>_xlfn.MINIFS(Detalle!$F$2:$F$687,Detalle!$A$2:$A$687,$A120,Detalle!$C$2:$C$687,$B120)</f>
        <v>141.089</v>
      </c>
      <c r="I120" s="5">
        <f>_xlfn.MAXIFS(Detalle!$F$2:$F$687,Detalle!$A$2:$A$687,$A120,Detalle!$C$2:$C$687,$B120)</f>
        <v>141.089</v>
      </c>
    </row>
    <row r="121" spans="1:9" x14ac:dyDescent="0.25">
      <c r="A121" s="3">
        <v>6</v>
      </c>
      <c r="B121" s="3" t="s">
        <v>22</v>
      </c>
      <c r="C121" s="4">
        <f>COUNTIFS(Detalle!$A$2:$A$687,$A121,Detalle!$C$2:$C$687,$B121)</f>
        <v>1</v>
      </c>
      <c r="D121" s="5">
        <f>AVERAGEIFS(Detalle!$D$2:$D$687,Detalle!$A$2:$A$687,$A121,Detalle!$C$2:$C$687,$B121)</f>
        <v>0.89</v>
      </c>
      <c r="E121" s="5">
        <f>_xlfn.MINIFS(Detalle!$D$2:$D$687,Detalle!$A$2:$A$687,$A121,Detalle!$C$2:$C$687,$B121)</f>
        <v>0.89</v>
      </c>
      <c r="F121" s="5">
        <f>_xlfn.MAXIFS(Detalle!$D$2:$D$687,Detalle!$A$2:$A$687,$A121,Detalle!$C$2:$C$687,$B121)</f>
        <v>0.89</v>
      </c>
      <c r="G121" s="5">
        <f>AVERAGEIFS(Detalle!$F$2:$F$687,Detalle!$A$2:$A$687,$A121,Detalle!$C$2:$C$687,$B121)</f>
        <v>151.51300000000001</v>
      </c>
      <c r="H121" s="5">
        <f>_xlfn.MINIFS(Detalle!$F$2:$F$687,Detalle!$A$2:$A$687,$A121,Detalle!$C$2:$C$687,$B121)</f>
        <v>151.51300000000001</v>
      </c>
      <c r="I121" s="5">
        <f>_xlfn.MAXIFS(Detalle!$F$2:$F$687,Detalle!$A$2:$A$687,$A121,Detalle!$C$2:$C$687,$B121)</f>
        <v>151.51300000000001</v>
      </c>
    </row>
    <row r="122" spans="1:9" x14ac:dyDescent="0.25">
      <c r="A122" s="3">
        <v>6</v>
      </c>
      <c r="B122" s="3" t="s">
        <v>26</v>
      </c>
      <c r="C122" s="4">
        <f>COUNTIFS(Detalle!$A$2:$A$687,$A122,Detalle!$C$2:$C$687,$B122)</f>
        <v>1</v>
      </c>
      <c r="D122" s="5">
        <f>AVERAGEIFS(Detalle!$D$2:$D$687,Detalle!$A$2:$A$687,$A122,Detalle!$C$2:$C$687,$B122)</f>
        <v>0.80800000000000005</v>
      </c>
      <c r="E122" s="5">
        <f>_xlfn.MINIFS(Detalle!$D$2:$D$687,Detalle!$A$2:$A$687,$A122,Detalle!$C$2:$C$687,$B122)</f>
        <v>0.80800000000000005</v>
      </c>
      <c r="F122" s="5">
        <f>_xlfn.MAXIFS(Detalle!$D$2:$D$687,Detalle!$A$2:$A$687,$A122,Detalle!$C$2:$C$687,$B122)</f>
        <v>0.80800000000000005</v>
      </c>
      <c r="G122" s="5">
        <f>AVERAGEIFS(Detalle!$F$2:$F$687,Detalle!$A$2:$A$687,$A122,Detalle!$C$2:$C$687,$B122)</f>
        <v>115.363</v>
      </c>
      <c r="H122" s="5">
        <f>_xlfn.MINIFS(Detalle!$F$2:$F$687,Detalle!$A$2:$A$687,$A122,Detalle!$C$2:$C$687,$B122)</f>
        <v>115.363</v>
      </c>
      <c r="I122" s="5">
        <f>_xlfn.MAXIFS(Detalle!$F$2:$F$687,Detalle!$A$2:$A$687,$A122,Detalle!$C$2:$C$687,$B122)</f>
        <v>115.363</v>
      </c>
    </row>
    <row r="123" spans="1:9" x14ac:dyDescent="0.25">
      <c r="A123" s="3">
        <v>6</v>
      </c>
      <c r="B123" s="3" t="s">
        <v>33</v>
      </c>
      <c r="C123" s="4">
        <f>COUNTIFS(Detalle!$A$2:$A$687,$A123,Detalle!$C$2:$C$687,$B123)</f>
        <v>1</v>
      </c>
      <c r="D123" s="5">
        <f>AVERAGEIFS(Detalle!$D$2:$D$687,Detalle!$A$2:$A$687,$A123,Detalle!$C$2:$C$687,$B123)</f>
        <v>0.85</v>
      </c>
      <c r="E123" s="5">
        <f>_xlfn.MINIFS(Detalle!$D$2:$D$687,Detalle!$A$2:$A$687,$A123,Detalle!$C$2:$C$687,$B123)</f>
        <v>0.85</v>
      </c>
      <c r="F123" s="5">
        <f>_xlfn.MAXIFS(Detalle!$D$2:$D$687,Detalle!$A$2:$A$687,$A123,Detalle!$C$2:$C$687,$B123)</f>
        <v>0.85</v>
      </c>
      <c r="G123" s="5">
        <f>AVERAGEIFS(Detalle!$F$2:$F$687,Detalle!$A$2:$A$687,$A123,Detalle!$C$2:$C$687,$B123)</f>
        <v>110.523</v>
      </c>
      <c r="H123" s="5">
        <f>_xlfn.MINIFS(Detalle!$F$2:$F$687,Detalle!$A$2:$A$687,$A123,Detalle!$C$2:$C$687,$B123)</f>
        <v>110.523</v>
      </c>
      <c r="I123" s="5">
        <f>_xlfn.MAXIFS(Detalle!$F$2:$F$687,Detalle!$A$2:$A$687,$A123,Detalle!$C$2:$C$687,$B123)</f>
        <v>110.523</v>
      </c>
    </row>
    <row r="124" spans="1:9" x14ac:dyDescent="0.25">
      <c r="A124" s="3">
        <v>6</v>
      </c>
      <c r="B124" s="3" t="s">
        <v>30</v>
      </c>
      <c r="C124" s="4">
        <f>COUNTIFS(Detalle!$A$2:$A$687,$A124,Detalle!$C$2:$C$687,$B124)</f>
        <v>3</v>
      </c>
      <c r="D124" s="5">
        <f>AVERAGEIFS(Detalle!$D$2:$D$687,Detalle!$A$2:$A$687,$A124,Detalle!$C$2:$C$687,$B124)</f>
        <v>0.81199999999999994</v>
      </c>
      <c r="E124" s="5">
        <f>_xlfn.MINIFS(Detalle!$D$2:$D$687,Detalle!$A$2:$A$687,$A124,Detalle!$C$2:$C$687,$B124)</f>
        <v>0.67800000000000005</v>
      </c>
      <c r="F124" s="5">
        <f>_xlfn.MAXIFS(Detalle!$D$2:$D$687,Detalle!$A$2:$A$687,$A124,Detalle!$C$2:$C$687,$B124)</f>
        <v>0.88700000000000001</v>
      </c>
      <c r="G124" s="5">
        <f>AVERAGEIFS(Detalle!$F$2:$F$687,Detalle!$A$2:$A$687,$A124,Detalle!$C$2:$C$687,$B124)</f>
        <v>136.78266666666667</v>
      </c>
      <c r="H124" s="5">
        <f>_xlfn.MINIFS(Detalle!$F$2:$F$687,Detalle!$A$2:$A$687,$A124,Detalle!$C$2:$C$687,$B124)</f>
        <v>116.42</v>
      </c>
      <c r="I124" s="5">
        <f>_xlfn.MAXIFS(Detalle!$F$2:$F$687,Detalle!$A$2:$A$687,$A124,Detalle!$C$2:$C$687,$B124)</f>
        <v>156.75</v>
      </c>
    </row>
    <row r="125" spans="1:9" x14ac:dyDescent="0.25">
      <c r="A125" s="3">
        <v>6</v>
      </c>
      <c r="B125" s="3" t="s">
        <v>27</v>
      </c>
      <c r="C125" s="4">
        <f>COUNTIFS(Detalle!$A$2:$A$687,$A125,Detalle!$C$2:$C$687,$B125)</f>
        <v>1</v>
      </c>
      <c r="D125" s="5">
        <f>AVERAGEIFS(Detalle!$D$2:$D$687,Detalle!$A$2:$A$687,$A125,Detalle!$C$2:$C$687,$B125)</f>
        <v>0.84899999999999998</v>
      </c>
      <c r="E125" s="5">
        <f>_xlfn.MINIFS(Detalle!$D$2:$D$687,Detalle!$A$2:$A$687,$A125,Detalle!$C$2:$C$687,$B125)</f>
        <v>0.84899999999999998</v>
      </c>
      <c r="F125" s="5">
        <f>_xlfn.MAXIFS(Detalle!$D$2:$D$687,Detalle!$A$2:$A$687,$A125,Detalle!$C$2:$C$687,$B125)</f>
        <v>0.84899999999999998</v>
      </c>
      <c r="G125" s="5">
        <f>AVERAGEIFS(Detalle!$F$2:$F$687,Detalle!$A$2:$A$687,$A125,Detalle!$C$2:$C$687,$B125)</f>
        <v>150.09700000000001</v>
      </c>
      <c r="H125" s="5">
        <f>_xlfn.MINIFS(Detalle!$F$2:$F$687,Detalle!$A$2:$A$687,$A125,Detalle!$C$2:$C$687,$B125)</f>
        <v>150.09700000000001</v>
      </c>
      <c r="I125" s="5">
        <f>_xlfn.MAXIFS(Detalle!$F$2:$F$687,Detalle!$A$2:$A$687,$A125,Detalle!$C$2:$C$687,$B125)</f>
        <v>150.09700000000001</v>
      </c>
    </row>
    <row r="126" spans="1:9" x14ac:dyDescent="0.25">
      <c r="A126" s="3">
        <v>6</v>
      </c>
      <c r="B126" s="3" t="s">
        <v>32</v>
      </c>
      <c r="C126" s="4">
        <f>COUNTIFS(Detalle!$A$2:$A$687,$A126,Detalle!$C$2:$C$687,$B126)</f>
        <v>2</v>
      </c>
      <c r="D126" s="5">
        <f>AVERAGEIFS(Detalle!$D$2:$D$687,Detalle!$A$2:$A$687,$A126,Detalle!$C$2:$C$687,$B126)</f>
        <v>0.89900000000000002</v>
      </c>
      <c r="E126" s="5">
        <f>_xlfn.MINIFS(Detalle!$D$2:$D$687,Detalle!$A$2:$A$687,$A126,Detalle!$C$2:$C$687,$B126)</f>
        <v>0.86099999999999999</v>
      </c>
      <c r="F126" s="5">
        <f>_xlfn.MAXIFS(Detalle!$D$2:$D$687,Detalle!$A$2:$A$687,$A126,Detalle!$C$2:$C$687,$B126)</f>
        <v>0.93700000000000006</v>
      </c>
      <c r="G126" s="5">
        <f>AVERAGEIFS(Detalle!$F$2:$F$687,Detalle!$A$2:$A$687,$A126,Detalle!$C$2:$C$687,$B126)</f>
        <v>132.7475</v>
      </c>
      <c r="H126" s="5">
        <f>_xlfn.MINIFS(Detalle!$F$2:$F$687,Detalle!$A$2:$A$687,$A126,Detalle!$C$2:$C$687,$B126)</f>
        <v>111.14</v>
      </c>
      <c r="I126" s="5">
        <f>_xlfn.MAXIFS(Detalle!$F$2:$F$687,Detalle!$A$2:$A$687,$A126,Detalle!$C$2:$C$687,$B126)</f>
        <v>154.35499999999999</v>
      </c>
    </row>
    <row r="127" spans="1:9" x14ac:dyDescent="0.25">
      <c r="A127" s="3">
        <v>6</v>
      </c>
      <c r="B127" s="3" t="s">
        <v>24</v>
      </c>
      <c r="C127" s="4">
        <f>COUNTIFS(Detalle!$A$2:$A$687,$A127,Detalle!$C$2:$C$687,$B127)</f>
        <v>2</v>
      </c>
      <c r="D127" s="5">
        <f>AVERAGEIFS(Detalle!$D$2:$D$687,Detalle!$A$2:$A$687,$A127,Detalle!$C$2:$C$687,$B127)</f>
        <v>0.88149999999999995</v>
      </c>
      <c r="E127" s="5">
        <f>_xlfn.MINIFS(Detalle!$D$2:$D$687,Detalle!$A$2:$A$687,$A127,Detalle!$C$2:$C$687,$B127)</f>
        <v>0.85599999999999998</v>
      </c>
      <c r="F127" s="5">
        <f>_xlfn.MAXIFS(Detalle!$D$2:$D$687,Detalle!$A$2:$A$687,$A127,Detalle!$C$2:$C$687,$B127)</f>
        <v>0.90700000000000003</v>
      </c>
      <c r="G127" s="5">
        <f>AVERAGEIFS(Detalle!$F$2:$F$687,Detalle!$A$2:$A$687,$A127,Detalle!$C$2:$C$687,$B127)</f>
        <v>149.57900000000001</v>
      </c>
      <c r="H127" s="5">
        <f>_xlfn.MINIFS(Detalle!$F$2:$F$687,Detalle!$A$2:$A$687,$A127,Detalle!$C$2:$C$687,$B127)</f>
        <v>139.27500000000001</v>
      </c>
      <c r="I127" s="5">
        <f>_xlfn.MAXIFS(Detalle!$F$2:$F$687,Detalle!$A$2:$A$687,$A127,Detalle!$C$2:$C$687,$B127)</f>
        <v>159.88300000000001</v>
      </c>
    </row>
    <row r="128" spans="1:9" x14ac:dyDescent="0.25">
      <c r="A128" s="3">
        <v>6</v>
      </c>
      <c r="B128" s="3" t="s">
        <v>39</v>
      </c>
      <c r="C128" s="4">
        <f>COUNTIFS(Detalle!$A$2:$A$687,$A128,Detalle!$C$2:$C$687,$B128)</f>
        <v>2</v>
      </c>
      <c r="D128" s="5">
        <f>AVERAGEIFS(Detalle!$D$2:$D$687,Detalle!$A$2:$A$687,$A128,Detalle!$C$2:$C$687,$B128)</f>
        <v>0.85349999999999993</v>
      </c>
      <c r="E128" s="5">
        <f>_xlfn.MINIFS(Detalle!$D$2:$D$687,Detalle!$A$2:$A$687,$A128,Detalle!$C$2:$C$687,$B128)</f>
        <v>0.85199999999999998</v>
      </c>
      <c r="F128" s="5">
        <f>_xlfn.MAXIFS(Detalle!$D$2:$D$687,Detalle!$A$2:$A$687,$A128,Detalle!$C$2:$C$687,$B128)</f>
        <v>0.85499999999999998</v>
      </c>
      <c r="G128" s="5">
        <f>AVERAGEIFS(Detalle!$F$2:$F$687,Detalle!$A$2:$A$687,$A128,Detalle!$C$2:$C$687,$B128)</f>
        <v>130.53450000000001</v>
      </c>
      <c r="H128" s="5">
        <f>_xlfn.MINIFS(Detalle!$F$2:$F$687,Detalle!$A$2:$A$687,$A128,Detalle!$C$2:$C$687,$B128)</f>
        <v>123.038</v>
      </c>
      <c r="I128" s="5">
        <f>_xlfn.MAXIFS(Detalle!$F$2:$F$687,Detalle!$A$2:$A$687,$A128,Detalle!$C$2:$C$687,$B128)</f>
        <v>138.03100000000001</v>
      </c>
    </row>
    <row r="129" spans="1:9" x14ac:dyDescent="0.25">
      <c r="A129" s="3">
        <v>6</v>
      </c>
      <c r="B129" s="3" t="s">
        <v>19</v>
      </c>
      <c r="C129" s="4">
        <f>COUNTIFS(Detalle!$A$2:$A$687,$A129,Detalle!$C$2:$C$687,$B129)</f>
        <v>1</v>
      </c>
      <c r="D129" s="5">
        <f>AVERAGEIFS(Detalle!$D$2:$D$687,Detalle!$A$2:$A$687,$A129,Detalle!$C$2:$C$687,$B129)</f>
        <v>0.83</v>
      </c>
      <c r="E129" s="5">
        <f>_xlfn.MINIFS(Detalle!$D$2:$D$687,Detalle!$A$2:$A$687,$A129,Detalle!$C$2:$C$687,$B129)</f>
        <v>0.83</v>
      </c>
      <c r="F129" s="5">
        <f>_xlfn.MAXIFS(Detalle!$D$2:$D$687,Detalle!$A$2:$A$687,$A129,Detalle!$C$2:$C$687,$B129)</f>
        <v>0.83</v>
      </c>
      <c r="G129" s="5">
        <f>AVERAGEIFS(Detalle!$F$2:$F$687,Detalle!$A$2:$A$687,$A129,Detalle!$C$2:$C$687,$B129)</f>
        <v>133.86799999999999</v>
      </c>
      <c r="H129" s="5">
        <f>_xlfn.MINIFS(Detalle!$F$2:$F$687,Detalle!$A$2:$A$687,$A129,Detalle!$C$2:$C$687,$B129)</f>
        <v>133.86799999999999</v>
      </c>
      <c r="I129" s="5">
        <f>_xlfn.MAXIFS(Detalle!$F$2:$F$687,Detalle!$A$2:$A$687,$A129,Detalle!$C$2:$C$687,$B129)</f>
        <v>133.86799999999999</v>
      </c>
    </row>
    <row r="130" spans="1:9" x14ac:dyDescent="0.25">
      <c r="A130" s="3">
        <v>6</v>
      </c>
      <c r="B130" s="3" t="s">
        <v>36</v>
      </c>
      <c r="C130" s="4">
        <f>COUNTIFS(Detalle!$A$2:$A$687,$A130,Detalle!$C$2:$C$687,$B130)</f>
        <v>1</v>
      </c>
      <c r="D130" s="5">
        <f>AVERAGEIFS(Detalle!$D$2:$D$687,Detalle!$A$2:$A$687,$A130,Detalle!$C$2:$C$687,$B130)</f>
        <v>0.81200000000000006</v>
      </c>
      <c r="E130" s="5">
        <f>_xlfn.MINIFS(Detalle!$D$2:$D$687,Detalle!$A$2:$A$687,$A130,Detalle!$C$2:$C$687,$B130)</f>
        <v>0.81200000000000006</v>
      </c>
      <c r="F130" s="5">
        <f>_xlfn.MAXIFS(Detalle!$D$2:$D$687,Detalle!$A$2:$A$687,$A130,Detalle!$C$2:$C$687,$B130)</f>
        <v>0.81200000000000006</v>
      </c>
      <c r="G130" s="5">
        <f>AVERAGEIFS(Detalle!$F$2:$F$687,Detalle!$A$2:$A$687,$A130,Detalle!$C$2:$C$687,$B130)</f>
        <v>127.408</v>
      </c>
      <c r="H130" s="5">
        <f>_xlfn.MINIFS(Detalle!$F$2:$F$687,Detalle!$A$2:$A$687,$A130,Detalle!$C$2:$C$687,$B130)</f>
        <v>127.408</v>
      </c>
      <c r="I130" s="5">
        <f>_xlfn.MAXIFS(Detalle!$F$2:$F$687,Detalle!$A$2:$A$687,$A130,Detalle!$C$2:$C$687,$B130)</f>
        <v>127.408</v>
      </c>
    </row>
    <row r="131" spans="1:9" x14ac:dyDescent="0.25">
      <c r="A131" s="3">
        <v>6</v>
      </c>
      <c r="B131" s="3" t="s">
        <v>15</v>
      </c>
      <c r="C131" s="4">
        <f>COUNTIFS(Detalle!$A$2:$A$687,$A131,Detalle!$C$2:$C$687,$B131)</f>
        <v>1</v>
      </c>
      <c r="D131" s="5">
        <f>AVERAGEIFS(Detalle!$D$2:$D$687,Detalle!$A$2:$A$687,$A131,Detalle!$C$2:$C$687,$B131)</f>
        <v>0.97399999999999998</v>
      </c>
      <c r="E131" s="5">
        <f>_xlfn.MINIFS(Detalle!$D$2:$D$687,Detalle!$A$2:$A$687,$A131,Detalle!$C$2:$C$687,$B131)</f>
        <v>0.97399999999999998</v>
      </c>
      <c r="F131" s="5">
        <f>_xlfn.MAXIFS(Detalle!$D$2:$D$687,Detalle!$A$2:$A$687,$A131,Detalle!$C$2:$C$687,$B131)</f>
        <v>0.97399999999999998</v>
      </c>
      <c r="G131" s="5">
        <f>AVERAGEIFS(Detalle!$F$2:$F$687,Detalle!$A$2:$A$687,$A131,Detalle!$C$2:$C$687,$B131)</f>
        <v>133.768</v>
      </c>
      <c r="H131" s="5">
        <f>_xlfn.MINIFS(Detalle!$F$2:$F$687,Detalle!$A$2:$A$687,$A131,Detalle!$C$2:$C$687,$B131)</f>
        <v>133.768</v>
      </c>
      <c r="I131" s="5">
        <f>_xlfn.MAXIFS(Detalle!$F$2:$F$687,Detalle!$A$2:$A$687,$A131,Detalle!$C$2:$C$687,$B131)</f>
        <v>133.768</v>
      </c>
    </row>
    <row r="132" spans="1:9" x14ac:dyDescent="0.25">
      <c r="A132" s="3">
        <v>6</v>
      </c>
      <c r="B132" s="3" t="s">
        <v>18</v>
      </c>
      <c r="C132" s="4">
        <f>COUNTIFS(Detalle!$A$2:$A$687,$A132,Detalle!$C$2:$C$687,$B132)</f>
        <v>2</v>
      </c>
      <c r="D132" s="5">
        <f>AVERAGEIFS(Detalle!$D$2:$D$687,Detalle!$A$2:$A$687,$A132,Detalle!$C$2:$C$687,$B132)</f>
        <v>0.80249999999999999</v>
      </c>
      <c r="E132" s="5">
        <f>_xlfn.MINIFS(Detalle!$D$2:$D$687,Detalle!$A$2:$A$687,$A132,Detalle!$C$2:$C$687,$B132)</f>
        <v>0.75700000000000001</v>
      </c>
      <c r="F132" s="5">
        <f>_xlfn.MAXIFS(Detalle!$D$2:$D$687,Detalle!$A$2:$A$687,$A132,Detalle!$C$2:$C$687,$B132)</f>
        <v>0.84799999999999998</v>
      </c>
      <c r="G132" s="5">
        <f>AVERAGEIFS(Detalle!$F$2:$F$687,Detalle!$A$2:$A$687,$A132,Detalle!$C$2:$C$687,$B132)</f>
        <v>119.071</v>
      </c>
      <c r="H132" s="5">
        <f>_xlfn.MINIFS(Detalle!$F$2:$F$687,Detalle!$A$2:$A$687,$A132,Detalle!$C$2:$C$687,$B132)</f>
        <v>106.97499999999999</v>
      </c>
      <c r="I132" s="5">
        <f>_xlfn.MAXIFS(Detalle!$F$2:$F$687,Detalle!$A$2:$A$687,$A132,Detalle!$C$2:$C$687,$B132)</f>
        <v>131.167</v>
      </c>
    </row>
    <row r="133" spans="1:9" x14ac:dyDescent="0.25">
      <c r="A133" s="3">
        <v>6</v>
      </c>
      <c r="B133" s="3" t="s">
        <v>35</v>
      </c>
      <c r="C133" s="4">
        <f>COUNTIFS(Detalle!$A$2:$A$687,$A133,Detalle!$C$2:$C$687,$B133)</f>
        <v>2</v>
      </c>
      <c r="D133" s="5">
        <f>AVERAGEIFS(Detalle!$D$2:$D$687,Detalle!$A$2:$A$687,$A133,Detalle!$C$2:$C$687,$B133)</f>
        <v>0.83650000000000002</v>
      </c>
      <c r="E133" s="5">
        <f>_xlfn.MINIFS(Detalle!$D$2:$D$687,Detalle!$A$2:$A$687,$A133,Detalle!$C$2:$C$687,$B133)</f>
        <v>0.82899999999999996</v>
      </c>
      <c r="F133" s="5">
        <f>_xlfn.MAXIFS(Detalle!$D$2:$D$687,Detalle!$A$2:$A$687,$A133,Detalle!$C$2:$C$687,$B133)</f>
        <v>0.84399999999999997</v>
      </c>
      <c r="G133" s="5">
        <f>AVERAGEIFS(Detalle!$F$2:$F$687,Detalle!$A$2:$A$687,$A133,Detalle!$C$2:$C$687,$B133)</f>
        <v>108.53100000000001</v>
      </c>
      <c r="H133" s="5">
        <f>_xlfn.MINIFS(Detalle!$F$2:$F$687,Detalle!$A$2:$A$687,$A133,Detalle!$C$2:$C$687,$B133)</f>
        <v>99.066999999999993</v>
      </c>
      <c r="I133" s="5">
        <f>_xlfn.MAXIFS(Detalle!$F$2:$F$687,Detalle!$A$2:$A$687,$A133,Detalle!$C$2:$C$687,$B133)</f>
        <v>117.995</v>
      </c>
    </row>
    <row r="134" spans="1:9" x14ac:dyDescent="0.25">
      <c r="A134" s="3">
        <v>6</v>
      </c>
      <c r="B134" s="3" t="s">
        <v>17</v>
      </c>
      <c r="C134" s="4">
        <f>COUNTIFS(Detalle!$A$2:$A$687,$A134,Detalle!$C$2:$C$687,$B134)</f>
        <v>1</v>
      </c>
      <c r="D134" s="5">
        <f>AVERAGEIFS(Detalle!$D$2:$D$687,Detalle!$A$2:$A$687,$A134,Detalle!$C$2:$C$687,$B134)</f>
        <v>0.871</v>
      </c>
      <c r="E134" s="5">
        <f>_xlfn.MINIFS(Detalle!$D$2:$D$687,Detalle!$A$2:$A$687,$A134,Detalle!$C$2:$C$687,$B134)</f>
        <v>0.871</v>
      </c>
      <c r="F134" s="5">
        <f>_xlfn.MAXIFS(Detalle!$D$2:$D$687,Detalle!$A$2:$A$687,$A134,Detalle!$C$2:$C$687,$B134)</f>
        <v>0.871</v>
      </c>
      <c r="G134" s="5">
        <f>AVERAGEIFS(Detalle!$F$2:$F$687,Detalle!$A$2:$A$687,$A134,Detalle!$C$2:$C$687,$B134)</f>
        <v>87.855999999999995</v>
      </c>
      <c r="H134" s="5">
        <f>_xlfn.MINIFS(Detalle!$F$2:$F$687,Detalle!$A$2:$A$687,$A134,Detalle!$C$2:$C$687,$B134)</f>
        <v>87.855999999999995</v>
      </c>
      <c r="I134" s="5">
        <f>_xlfn.MAXIFS(Detalle!$F$2:$F$687,Detalle!$A$2:$A$687,$A134,Detalle!$C$2:$C$687,$B134)</f>
        <v>87.855999999999995</v>
      </c>
    </row>
    <row r="135" spans="1:9" x14ac:dyDescent="0.25">
      <c r="A135" s="3">
        <v>6</v>
      </c>
      <c r="B135" s="3" t="s">
        <v>34</v>
      </c>
      <c r="C135" s="4">
        <f>COUNTIFS(Detalle!$A$2:$A$687,$A135,Detalle!$C$2:$C$687,$B135)</f>
        <v>1</v>
      </c>
      <c r="D135" s="5">
        <f>AVERAGEIFS(Detalle!$D$2:$D$687,Detalle!$A$2:$A$687,$A135,Detalle!$C$2:$C$687,$B135)</f>
        <v>0.85499999999999998</v>
      </c>
      <c r="E135" s="5">
        <f>_xlfn.MINIFS(Detalle!$D$2:$D$687,Detalle!$A$2:$A$687,$A135,Detalle!$C$2:$C$687,$B135)</f>
        <v>0.85499999999999998</v>
      </c>
      <c r="F135" s="5">
        <f>_xlfn.MAXIFS(Detalle!$D$2:$D$687,Detalle!$A$2:$A$687,$A135,Detalle!$C$2:$C$687,$B135)</f>
        <v>0.85499999999999998</v>
      </c>
      <c r="G135" s="5">
        <f>AVERAGEIFS(Detalle!$F$2:$F$687,Detalle!$A$2:$A$687,$A135,Detalle!$C$2:$C$687,$B135)</f>
        <v>138.161</v>
      </c>
      <c r="H135" s="5">
        <f>_xlfn.MINIFS(Detalle!$F$2:$F$687,Detalle!$A$2:$A$687,$A135,Detalle!$C$2:$C$687,$B135)</f>
        <v>138.161</v>
      </c>
      <c r="I135" s="5">
        <f>_xlfn.MAXIFS(Detalle!$F$2:$F$687,Detalle!$A$2:$A$687,$A135,Detalle!$C$2:$C$687,$B135)</f>
        <v>138.161</v>
      </c>
    </row>
    <row r="136" spans="1:9" x14ac:dyDescent="0.25">
      <c r="A136" s="3">
        <v>6</v>
      </c>
      <c r="B136" s="3" t="s">
        <v>16</v>
      </c>
      <c r="C136" s="4">
        <f>COUNTIFS(Detalle!$A$2:$A$687,$A136,Detalle!$C$2:$C$687,$B136)</f>
        <v>2</v>
      </c>
      <c r="D136" s="5">
        <f>AVERAGEIFS(Detalle!$D$2:$D$687,Detalle!$A$2:$A$687,$A136,Detalle!$C$2:$C$687,$B136)</f>
        <v>0.77300000000000002</v>
      </c>
      <c r="E136" s="5">
        <f>_xlfn.MINIFS(Detalle!$D$2:$D$687,Detalle!$A$2:$A$687,$A136,Detalle!$C$2:$C$687,$B136)</f>
        <v>0.66800000000000004</v>
      </c>
      <c r="F136" s="5">
        <f>_xlfn.MAXIFS(Detalle!$D$2:$D$687,Detalle!$A$2:$A$687,$A136,Detalle!$C$2:$C$687,$B136)</f>
        <v>0.878</v>
      </c>
      <c r="G136" s="5">
        <f>AVERAGEIFS(Detalle!$F$2:$F$687,Detalle!$A$2:$A$687,$A136,Detalle!$C$2:$C$687,$B136)</f>
        <v>130.25150000000002</v>
      </c>
      <c r="H136" s="5">
        <f>_xlfn.MINIFS(Detalle!$F$2:$F$687,Detalle!$A$2:$A$687,$A136,Detalle!$C$2:$C$687,$B136)</f>
        <v>124.04900000000001</v>
      </c>
      <c r="I136" s="5">
        <f>_xlfn.MAXIFS(Detalle!$F$2:$F$687,Detalle!$A$2:$A$687,$A136,Detalle!$C$2:$C$687,$B136)</f>
        <v>136.45400000000001</v>
      </c>
    </row>
    <row r="137" spans="1:9" x14ac:dyDescent="0.25">
      <c r="A137" s="3">
        <v>6</v>
      </c>
      <c r="B137" s="3" t="s">
        <v>28</v>
      </c>
      <c r="C137" s="4">
        <f>COUNTIFS(Detalle!$A$2:$A$687,$A137,Detalle!$C$2:$C$687,$B137)</f>
        <v>1</v>
      </c>
      <c r="D137" s="5">
        <f>AVERAGEIFS(Detalle!$D$2:$D$687,Detalle!$A$2:$A$687,$A137,Detalle!$C$2:$C$687,$B137)</f>
        <v>0.79100000000000004</v>
      </c>
      <c r="E137" s="5">
        <f>_xlfn.MINIFS(Detalle!$D$2:$D$687,Detalle!$A$2:$A$687,$A137,Detalle!$C$2:$C$687,$B137)</f>
        <v>0.79100000000000004</v>
      </c>
      <c r="F137" s="5">
        <f>_xlfn.MAXIFS(Detalle!$D$2:$D$687,Detalle!$A$2:$A$687,$A137,Detalle!$C$2:$C$687,$B137)</f>
        <v>0.79100000000000004</v>
      </c>
      <c r="G137" s="5">
        <f>AVERAGEIFS(Detalle!$F$2:$F$687,Detalle!$A$2:$A$687,$A137,Detalle!$C$2:$C$687,$B137)</f>
        <v>128.798</v>
      </c>
      <c r="H137" s="5">
        <f>_xlfn.MINIFS(Detalle!$F$2:$F$687,Detalle!$A$2:$A$687,$A137,Detalle!$C$2:$C$687,$B137)</f>
        <v>128.798</v>
      </c>
      <c r="I137" s="5">
        <f>_xlfn.MAXIFS(Detalle!$F$2:$F$687,Detalle!$A$2:$A$687,$A137,Detalle!$C$2:$C$687,$B137)</f>
        <v>128.798</v>
      </c>
    </row>
    <row r="138" spans="1:9" x14ac:dyDescent="0.25">
      <c r="A138" s="3">
        <v>6</v>
      </c>
      <c r="B138" s="3" t="s">
        <v>20</v>
      </c>
      <c r="C138" s="4">
        <f>COUNTIFS(Detalle!$A$2:$A$687,$A138,Detalle!$C$2:$C$687,$B138)</f>
        <v>1</v>
      </c>
      <c r="D138" s="5">
        <f>AVERAGEIFS(Detalle!$D$2:$D$687,Detalle!$A$2:$A$687,$A138,Detalle!$C$2:$C$687,$B138)</f>
        <v>0.94299999999999995</v>
      </c>
      <c r="E138" s="5">
        <f>_xlfn.MINIFS(Detalle!$D$2:$D$687,Detalle!$A$2:$A$687,$A138,Detalle!$C$2:$C$687,$B138)</f>
        <v>0.94299999999999995</v>
      </c>
      <c r="F138" s="5">
        <f>_xlfn.MAXIFS(Detalle!$D$2:$D$687,Detalle!$A$2:$A$687,$A138,Detalle!$C$2:$C$687,$B138)</f>
        <v>0.94299999999999995</v>
      </c>
      <c r="G138" s="5">
        <f>AVERAGEIFS(Detalle!$F$2:$F$687,Detalle!$A$2:$A$687,$A138,Detalle!$C$2:$C$687,$B138)</f>
        <v>118.95099999999999</v>
      </c>
      <c r="H138" s="5">
        <f>_xlfn.MINIFS(Detalle!$F$2:$F$687,Detalle!$A$2:$A$687,$A138,Detalle!$C$2:$C$687,$B138)</f>
        <v>118.95099999999999</v>
      </c>
      <c r="I138" s="5">
        <f>_xlfn.MAXIFS(Detalle!$F$2:$F$687,Detalle!$A$2:$A$687,$A138,Detalle!$C$2:$C$687,$B138)</f>
        <v>118.95099999999999</v>
      </c>
    </row>
    <row r="139" spans="1:9" x14ac:dyDescent="0.25">
      <c r="A139" s="3">
        <v>7</v>
      </c>
      <c r="B139" s="3" t="s">
        <v>38</v>
      </c>
      <c r="C139" s="4">
        <f>COUNTIFS(Detalle!$A$2:$A$687,$A139,Detalle!$C$2:$C$687,$B139)</f>
        <v>3</v>
      </c>
      <c r="D139" s="5">
        <f>AVERAGEIFS(Detalle!$D$2:$D$687,Detalle!$A$2:$A$687,$A139,Detalle!$C$2:$C$687,$B139)</f>
        <v>0.81099999999999994</v>
      </c>
      <c r="E139" s="5">
        <f>_xlfn.MINIFS(Detalle!$D$2:$D$687,Detalle!$A$2:$A$687,$A139,Detalle!$C$2:$C$687,$B139)</f>
        <v>0.72499999999999998</v>
      </c>
      <c r="F139" s="5">
        <f>_xlfn.MAXIFS(Detalle!$D$2:$D$687,Detalle!$A$2:$A$687,$A139,Detalle!$C$2:$C$687,$B139)</f>
        <v>0.89200000000000002</v>
      </c>
      <c r="G139" s="5">
        <f>AVERAGEIFS(Detalle!$F$2:$F$687,Detalle!$A$2:$A$687,$A139,Detalle!$C$2:$C$687,$B139)</f>
        <v>118.93033333333334</v>
      </c>
      <c r="H139" s="5">
        <f>_xlfn.MINIFS(Detalle!$F$2:$F$687,Detalle!$A$2:$A$687,$A139,Detalle!$C$2:$C$687,$B139)</f>
        <v>100.491</v>
      </c>
      <c r="I139" s="5">
        <f>_xlfn.MAXIFS(Detalle!$F$2:$F$687,Detalle!$A$2:$A$687,$A139,Detalle!$C$2:$C$687,$B139)</f>
        <v>150.12299999999999</v>
      </c>
    </row>
    <row r="140" spans="1:9" x14ac:dyDescent="0.25">
      <c r="A140" s="3">
        <v>7</v>
      </c>
      <c r="B140" s="3" t="s">
        <v>25</v>
      </c>
      <c r="C140" s="4">
        <f>COUNTIFS(Detalle!$A$2:$A$687,$A140,Detalle!$C$2:$C$687,$B140)</f>
        <v>2</v>
      </c>
      <c r="D140" s="5">
        <f>AVERAGEIFS(Detalle!$D$2:$D$687,Detalle!$A$2:$A$687,$A140,Detalle!$C$2:$C$687,$B140)</f>
        <v>0.90799999999999992</v>
      </c>
      <c r="E140" s="5">
        <f>_xlfn.MINIFS(Detalle!$D$2:$D$687,Detalle!$A$2:$A$687,$A140,Detalle!$C$2:$C$687,$B140)</f>
        <v>0.87</v>
      </c>
      <c r="F140" s="5">
        <f>_xlfn.MAXIFS(Detalle!$D$2:$D$687,Detalle!$A$2:$A$687,$A140,Detalle!$C$2:$C$687,$B140)</f>
        <v>0.94599999999999995</v>
      </c>
      <c r="G140" s="5">
        <f>AVERAGEIFS(Detalle!$F$2:$F$687,Detalle!$A$2:$A$687,$A140,Detalle!$C$2:$C$687,$B140)</f>
        <v>112.84950000000001</v>
      </c>
      <c r="H140" s="5">
        <f>_xlfn.MINIFS(Detalle!$F$2:$F$687,Detalle!$A$2:$A$687,$A140,Detalle!$C$2:$C$687,$B140)</f>
        <v>94.841999999999999</v>
      </c>
      <c r="I140" s="5">
        <f>_xlfn.MAXIFS(Detalle!$F$2:$F$687,Detalle!$A$2:$A$687,$A140,Detalle!$C$2:$C$687,$B140)</f>
        <v>130.857</v>
      </c>
    </row>
    <row r="141" spans="1:9" x14ac:dyDescent="0.25">
      <c r="A141" s="3">
        <v>7</v>
      </c>
      <c r="B141" s="3" t="s">
        <v>31</v>
      </c>
      <c r="C141" s="4">
        <f>COUNTIFS(Detalle!$A$2:$A$687,$A141,Detalle!$C$2:$C$687,$B141)</f>
        <v>1</v>
      </c>
      <c r="D141" s="5">
        <f>AVERAGEIFS(Detalle!$D$2:$D$687,Detalle!$A$2:$A$687,$A141,Detalle!$C$2:$C$687,$B141)</f>
        <v>0.88500000000000001</v>
      </c>
      <c r="E141" s="5">
        <f>_xlfn.MINIFS(Detalle!$D$2:$D$687,Detalle!$A$2:$A$687,$A141,Detalle!$C$2:$C$687,$B141)</f>
        <v>0.88500000000000001</v>
      </c>
      <c r="F141" s="5">
        <f>_xlfn.MAXIFS(Detalle!$D$2:$D$687,Detalle!$A$2:$A$687,$A141,Detalle!$C$2:$C$687,$B141)</f>
        <v>0.88500000000000001</v>
      </c>
      <c r="G141" s="5">
        <f>AVERAGEIFS(Detalle!$F$2:$F$687,Detalle!$A$2:$A$687,$A141,Detalle!$C$2:$C$687,$B141)</f>
        <v>129.13</v>
      </c>
      <c r="H141" s="5">
        <f>_xlfn.MINIFS(Detalle!$F$2:$F$687,Detalle!$A$2:$A$687,$A141,Detalle!$C$2:$C$687,$B141)</f>
        <v>129.13</v>
      </c>
      <c r="I141" s="5">
        <f>_xlfn.MAXIFS(Detalle!$F$2:$F$687,Detalle!$A$2:$A$687,$A141,Detalle!$C$2:$C$687,$B141)</f>
        <v>129.13</v>
      </c>
    </row>
    <row r="142" spans="1:9" x14ac:dyDescent="0.25">
      <c r="A142" s="3">
        <v>7</v>
      </c>
      <c r="B142" s="3" t="s">
        <v>29</v>
      </c>
      <c r="C142" s="4">
        <f>COUNTIFS(Detalle!$A$2:$A$687,$A142,Detalle!$C$2:$C$687,$B142)</f>
        <v>3</v>
      </c>
      <c r="D142" s="5">
        <f>AVERAGEIFS(Detalle!$D$2:$D$687,Detalle!$A$2:$A$687,$A142,Detalle!$C$2:$C$687,$B142)</f>
        <v>0.83700000000000008</v>
      </c>
      <c r="E142" s="5">
        <f>_xlfn.MINIFS(Detalle!$D$2:$D$687,Detalle!$A$2:$A$687,$A142,Detalle!$C$2:$C$687,$B142)</f>
        <v>0.69499999999999995</v>
      </c>
      <c r="F142" s="5">
        <f>_xlfn.MAXIFS(Detalle!$D$2:$D$687,Detalle!$A$2:$A$687,$A142,Detalle!$C$2:$C$687,$B142)</f>
        <v>0.95099999999999996</v>
      </c>
      <c r="G142" s="5">
        <f>AVERAGEIFS(Detalle!$F$2:$F$687,Detalle!$A$2:$A$687,$A142,Detalle!$C$2:$C$687,$B142)</f>
        <v>115.08033333333333</v>
      </c>
      <c r="H142" s="5">
        <f>_xlfn.MINIFS(Detalle!$F$2:$F$687,Detalle!$A$2:$A$687,$A142,Detalle!$C$2:$C$687,$B142)</f>
        <v>111.649</v>
      </c>
      <c r="I142" s="5">
        <f>_xlfn.MAXIFS(Detalle!$F$2:$F$687,Detalle!$A$2:$A$687,$A142,Detalle!$C$2:$C$687,$B142)</f>
        <v>117.852</v>
      </c>
    </row>
    <row r="143" spans="1:9" x14ac:dyDescent="0.25">
      <c r="A143" s="3">
        <v>7</v>
      </c>
      <c r="B143" s="3" t="s">
        <v>22</v>
      </c>
      <c r="C143" s="4">
        <f>COUNTIFS(Detalle!$A$2:$A$687,$A143,Detalle!$C$2:$C$687,$B143)</f>
        <v>2</v>
      </c>
      <c r="D143" s="5">
        <f>AVERAGEIFS(Detalle!$D$2:$D$687,Detalle!$A$2:$A$687,$A143,Detalle!$C$2:$C$687,$B143)</f>
        <v>0.84399999999999997</v>
      </c>
      <c r="E143" s="5">
        <f>_xlfn.MINIFS(Detalle!$D$2:$D$687,Detalle!$A$2:$A$687,$A143,Detalle!$C$2:$C$687,$B143)</f>
        <v>0.84399999999999997</v>
      </c>
      <c r="F143" s="5">
        <f>_xlfn.MAXIFS(Detalle!$D$2:$D$687,Detalle!$A$2:$A$687,$A143,Detalle!$C$2:$C$687,$B143)</f>
        <v>0.84399999999999997</v>
      </c>
      <c r="G143" s="5">
        <f>AVERAGEIFS(Detalle!$F$2:$F$687,Detalle!$A$2:$A$687,$A143,Detalle!$C$2:$C$687,$B143)</f>
        <v>119.42400000000001</v>
      </c>
      <c r="H143" s="5">
        <f>_xlfn.MINIFS(Detalle!$F$2:$F$687,Detalle!$A$2:$A$687,$A143,Detalle!$C$2:$C$687,$B143)</f>
        <v>109.42</v>
      </c>
      <c r="I143" s="5">
        <f>_xlfn.MAXIFS(Detalle!$F$2:$F$687,Detalle!$A$2:$A$687,$A143,Detalle!$C$2:$C$687,$B143)</f>
        <v>129.428</v>
      </c>
    </row>
    <row r="144" spans="1:9" x14ac:dyDescent="0.25">
      <c r="A144" s="3">
        <v>7</v>
      </c>
      <c r="B144" s="3" t="s">
        <v>26</v>
      </c>
      <c r="C144" s="4">
        <f>COUNTIFS(Detalle!$A$2:$A$687,$A144,Detalle!$C$2:$C$687,$B144)</f>
        <v>2</v>
      </c>
      <c r="D144" s="5">
        <f>AVERAGEIFS(Detalle!$D$2:$D$687,Detalle!$A$2:$A$687,$A144,Detalle!$C$2:$C$687,$B144)</f>
        <v>0.8105</v>
      </c>
      <c r="E144" s="5">
        <f>_xlfn.MINIFS(Detalle!$D$2:$D$687,Detalle!$A$2:$A$687,$A144,Detalle!$C$2:$C$687,$B144)</f>
        <v>0.76100000000000001</v>
      </c>
      <c r="F144" s="5">
        <f>_xlfn.MAXIFS(Detalle!$D$2:$D$687,Detalle!$A$2:$A$687,$A144,Detalle!$C$2:$C$687,$B144)</f>
        <v>0.86</v>
      </c>
      <c r="G144" s="5">
        <f>AVERAGEIFS(Detalle!$F$2:$F$687,Detalle!$A$2:$A$687,$A144,Detalle!$C$2:$C$687,$B144)</f>
        <v>134.23849999999999</v>
      </c>
      <c r="H144" s="5">
        <f>_xlfn.MINIFS(Detalle!$F$2:$F$687,Detalle!$A$2:$A$687,$A144,Detalle!$C$2:$C$687,$B144)</f>
        <v>124.86499999999999</v>
      </c>
      <c r="I144" s="5">
        <f>_xlfn.MAXIFS(Detalle!$F$2:$F$687,Detalle!$A$2:$A$687,$A144,Detalle!$C$2:$C$687,$B144)</f>
        <v>143.61199999999999</v>
      </c>
    </row>
    <row r="145" spans="1:9" x14ac:dyDescent="0.25">
      <c r="A145" s="3">
        <v>7</v>
      </c>
      <c r="B145" s="3" t="s">
        <v>33</v>
      </c>
      <c r="C145" s="4">
        <f>COUNTIFS(Detalle!$A$2:$A$687,$A145,Detalle!$C$2:$C$687,$B145)</f>
        <v>1</v>
      </c>
      <c r="D145" s="5">
        <f>AVERAGEIFS(Detalle!$D$2:$D$687,Detalle!$A$2:$A$687,$A145,Detalle!$C$2:$C$687,$B145)</f>
        <v>0.94199999999999995</v>
      </c>
      <c r="E145" s="5">
        <f>_xlfn.MINIFS(Detalle!$D$2:$D$687,Detalle!$A$2:$A$687,$A145,Detalle!$C$2:$C$687,$B145)</f>
        <v>0.94199999999999995</v>
      </c>
      <c r="F145" s="5">
        <f>_xlfn.MAXIFS(Detalle!$D$2:$D$687,Detalle!$A$2:$A$687,$A145,Detalle!$C$2:$C$687,$B145)</f>
        <v>0.94199999999999995</v>
      </c>
      <c r="G145" s="5">
        <f>AVERAGEIFS(Detalle!$F$2:$F$687,Detalle!$A$2:$A$687,$A145,Detalle!$C$2:$C$687,$B145)</f>
        <v>102.16500000000001</v>
      </c>
      <c r="H145" s="5">
        <f>_xlfn.MINIFS(Detalle!$F$2:$F$687,Detalle!$A$2:$A$687,$A145,Detalle!$C$2:$C$687,$B145)</f>
        <v>102.16500000000001</v>
      </c>
      <c r="I145" s="5">
        <f>_xlfn.MAXIFS(Detalle!$F$2:$F$687,Detalle!$A$2:$A$687,$A145,Detalle!$C$2:$C$687,$B145)</f>
        <v>102.16500000000001</v>
      </c>
    </row>
    <row r="146" spans="1:9" x14ac:dyDescent="0.25">
      <c r="A146" s="3">
        <v>7</v>
      </c>
      <c r="B146" s="3" t="s">
        <v>30</v>
      </c>
      <c r="C146" s="4">
        <f>COUNTIFS(Detalle!$A$2:$A$687,$A146,Detalle!$C$2:$C$687,$B146)</f>
        <v>2</v>
      </c>
      <c r="D146" s="5">
        <f>AVERAGEIFS(Detalle!$D$2:$D$687,Detalle!$A$2:$A$687,$A146,Detalle!$C$2:$C$687,$B146)</f>
        <v>0.89</v>
      </c>
      <c r="E146" s="5">
        <f>_xlfn.MINIFS(Detalle!$D$2:$D$687,Detalle!$A$2:$A$687,$A146,Detalle!$C$2:$C$687,$B146)</f>
        <v>0.86699999999999999</v>
      </c>
      <c r="F146" s="5">
        <f>_xlfn.MAXIFS(Detalle!$D$2:$D$687,Detalle!$A$2:$A$687,$A146,Detalle!$C$2:$C$687,$B146)</f>
        <v>0.91300000000000003</v>
      </c>
      <c r="G146" s="5">
        <f>AVERAGEIFS(Detalle!$F$2:$F$687,Detalle!$A$2:$A$687,$A146,Detalle!$C$2:$C$687,$B146)</f>
        <v>115.19499999999999</v>
      </c>
      <c r="H146" s="5">
        <f>_xlfn.MINIFS(Detalle!$F$2:$F$687,Detalle!$A$2:$A$687,$A146,Detalle!$C$2:$C$687,$B146)</f>
        <v>110.57899999999999</v>
      </c>
      <c r="I146" s="5">
        <f>_xlfn.MAXIFS(Detalle!$F$2:$F$687,Detalle!$A$2:$A$687,$A146,Detalle!$C$2:$C$687,$B146)</f>
        <v>119.81100000000001</v>
      </c>
    </row>
    <row r="147" spans="1:9" x14ac:dyDescent="0.25">
      <c r="A147" s="3">
        <v>7</v>
      </c>
      <c r="B147" s="3" t="s">
        <v>27</v>
      </c>
      <c r="C147" s="4">
        <f>COUNTIFS(Detalle!$A$2:$A$687,$A147,Detalle!$C$2:$C$687,$B147)</f>
        <v>3</v>
      </c>
      <c r="D147" s="5">
        <f>AVERAGEIFS(Detalle!$D$2:$D$687,Detalle!$A$2:$A$687,$A147,Detalle!$C$2:$C$687,$B147)</f>
        <v>0.82300000000000006</v>
      </c>
      <c r="E147" s="5">
        <f>_xlfn.MINIFS(Detalle!$D$2:$D$687,Detalle!$A$2:$A$687,$A147,Detalle!$C$2:$C$687,$B147)</f>
        <v>0.79400000000000004</v>
      </c>
      <c r="F147" s="5">
        <f>_xlfn.MAXIFS(Detalle!$D$2:$D$687,Detalle!$A$2:$A$687,$A147,Detalle!$C$2:$C$687,$B147)</f>
        <v>0.84499999999999997</v>
      </c>
      <c r="G147" s="5">
        <f>AVERAGEIFS(Detalle!$F$2:$F$687,Detalle!$A$2:$A$687,$A147,Detalle!$C$2:$C$687,$B147)</f>
        <v>138.59666666666669</v>
      </c>
      <c r="H147" s="5">
        <f>_xlfn.MINIFS(Detalle!$F$2:$F$687,Detalle!$A$2:$A$687,$A147,Detalle!$C$2:$C$687,$B147)</f>
        <v>133.79400000000001</v>
      </c>
      <c r="I147" s="5">
        <f>_xlfn.MAXIFS(Detalle!$F$2:$F$687,Detalle!$A$2:$A$687,$A147,Detalle!$C$2:$C$687,$B147)</f>
        <v>145.744</v>
      </c>
    </row>
    <row r="148" spans="1:9" x14ac:dyDescent="0.25">
      <c r="A148" s="3">
        <v>7</v>
      </c>
      <c r="B148" s="3" t="s">
        <v>32</v>
      </c>
      <c r="C148" s="4">
        <f>COUNTIFS(Detalle!$A$2:$A$687,$A148,Detalle!$C$2:$C$687,$B148)</f>
        <v>2</v>
      </c>
      <c r="D148" s="5">
        <f>AVERAGEIFS(Detalle!$D$2:$D$687,Detalle!$A$2:$A$687,$A148,Detalle!$C$2:$C$687,$B148)</f>
        <v>0.89449999999999996</v>
      </c>
      <c r="E148" s="5">
        <f>_xlfn.MINIFS(Detalle!$D$2:$D$687,Detalle!$A$2:$A$687,$A148,Detalle!$C$2:$C$687,$B148)</f>
        <v>0.83799999999999997</v>
      </c>
      <c r="F148" s="5">
        <f>_xlfn.MAXIFS(Detalle!$D$2:$D$687,Detalle!$A$2:$A$687,$A148,Detalle!$C$2:$C$687,$B148)</f>
        <v>0.95099999999999996</v>
      </c>
      <c r="G148" s="5">
        <f>AVERAGEIFS(Detalle!$F$2:$F$687,Detalle!$A$2:$A$687,$A148,Detalle!$C$2:$C$687,$B148)</f>
        <v>125.56</v>
      </c>
      <c r="H148" s="5">
        <f>_xlfn.MINIFS(Detalle!$F$2:$F$687,Detalle!$A$2:$A$687,$A148,Detalle!$C$2:$C$687,$B148)</f>
        <v>107.387</v>
      </c>
      <c r="I148" s="5">
        <f>_xlfn.MAXIFS(Detalle!$F$2:$F$687,Detalle!$A$2:$A$687,$A148,Detalle!$C$2:$C$687,$B148)</f>
        <v>143.733</v>
      </c>
    </row>
    <row r="149" spans="1:9" x14ac:dyDescent="0.25">
      <c r="A149" s="3">
        <v>7</v>
      </c>
      <c r="B149" s="3" t="s">
        <v>24</v>
      </c>
      <c r="C149" s="4">
        <f>COUNTIFS(Detalle!$A$2:$A$687,$A149,Detalle!$C$2:$C$687,$B149)</f>
        <v>2</v>
      </c>
      <c r="D149" s="5">
        <f>AVERAGEIFS(Detalle!$D$2:$D$687,Detalle!$A$2:$A$687,$A149,Detalle!$C$2:$C$687,$B149)</f>
        <v>0.90900000000000003</v>
      </c>
      <c r="E149" s="5">
        <f>_xlfn.MINIFS(Detalle!$D$2:$D$687,Detalle!$A$2:$A$687,$A149,Detalle!$C$2:$C$687,$B149)</f>
        <v>0.89200000000000002</v>
      </c>
      <c r="F149" s="5">
        <f>_xlfn.MAXIFS(Detalle!$D$2:$D$687,Detalle!$A$2:$A$687,$A149,Detalle!$C$2:$C$687,$B149)</f>
        <v>0.92600000000000005</v>
      </c>
      <c r="G149" s="5">
        <f>AVERAGEIFS(Detalle!$F$2:$F$687,Detalle!$A$2:$A$687,$A149,Detalle!$C$2:$C$687,$B149)</f>
        <v>137.63300000000001</v>
      </c>
      <c r="H149" s="5">
        <f>_xlfn.MINIFS(Detalle!$F$2:$F$687,Detalle!$A$2:$A$687,$A149,Detalle!$C$2:$C$687,$B149)</f>
        <v>115.09699999999999</v>
      </c>
      <c r="I149" s="5">
        <f>_xlfn.MAXIFS(Detalle!$F$2:$F$687,Detalle!$A$2:$A$687,$A149,Detalle!$C$2:$C$687,$B149)</f>
        <v>160.16900000000001</v>
      </c>
    </row>
    <row r="150" spans="1:9" x14ac:dyDescent="0.25">
      <c r="A150" s="3">
        <v>7</v>
      </c>
      <c r="B150" s="3" t="s">
        <v>39</v>
      </c>
      <c r="C150" s="4">
        <f>COUNTIFS(Detalle!$A$2:$A$687,$A150,Detalle!$C$2:$C$687,$B150)</f>
        <v>6</v>
      </c>
      <c r="D150" s="5">
        <f>AVERAGEIFS(Detalle!$D$2:$D$687,Detalle!$A$2:$A$687,$A150,Detalle!$C$2:$C$687,$B150)</f>
        <v>0.84816666666666674</v>
      </c>
      <c r="E150" s="5">
        <f>_xlfn.MINIFS(Detalle!$D$2:$D$687,Detalle!$A$2:$A$687,$A150,Detalle!$C$2:$C$687,$B150)</f>
        <v>0.80100000000000005</v>
      </c>
      <c r="F150" s="5">
        <f>_xlfn.MAXIFS(Detalle!$D$2:$D$687,Detalle!$A$2:$A$687,$A150,Detalle!$C$2:$C$687,$B150)</f>
        <v>0.91100000000000003</v>
      </c>
      <c r="G150" s="5">
        <f>AVERAGEIFS(Detalle!$F$2:$F$687,Detalle!$A$2:$A$687,$A150,Detalle!$C$2:$C$687,$B150)</f>
        <v>121.21816666666666</v>
      </c>
      <c r="H150" s="5">
        <f>_xlfn.MINIFS(Detalle!$F$2:$F$687,Detalle!$A$2:$A$687,$A150,Detalle!$C$2:$C$687,$B150)</f>
        <v>98.524000000000001</v>
      </c>
      <c r="I150" s="5">
        <f>_xlfn.MAXIFS(Detalle!$F$2:$F$687,Detalle!$A$2:$A$687,$A150,Detalle!$C$2:$C$687,$B150)</f>
        <v>142.892</v>
      </c>
    </row>
    <row r="151" spans="1:9" x14ac:dyDescent="0.25">
      <c r="A151" s="3">
        <v>7</v>
      </c>
      <c r="B151" s="3" t="s">
        <v>19</v>
      </c>
      <c r="C151" s="4">
        <f>COUNTIFS(Detalle!$A$2:$A$687,$A151,Detalle!$C$2:$C$687,$B151)</f>
        <v>2</v>
      </c>
      <c r="D151" s="5">
        <f>AVERAGEIFS(Detalle!$D$2:$D$687,Detalle!$A$2:$A$687,$A151,Detalle!$C$2:$C$687,$B151)</f>
        <v>0.91549999999999998</v>
      </c>
      <c r="E151" s="5">
        <f>_xlfn.MINIFS(Detalle!$D$2:$D$687,Detalle!$A$2:$A$687,$A151,Detalle!$C$2:$C$687,$B151)</f>
        <v>0.86499999999999999</v>
      </c>
      <c r="F151" s="5">
        <f>_xlfn.MAXIFS(Detalle!$D$2:$D$687,Detalle!$A$2:$A$687,$A151,Detalle!$C$2:$C$687,$B151)</f>
        <v>0.96599999999999997</v>
      </c>
      <c r="G151" s="5">
        <f>AVERAGEIFS(Detalle!$F$2:$F$687,Detalle!$A$2:$A$687,$A151,Detalle!$C$2:$C$687,$B151)</f>
        <v>127.499</v>
      </c>
      <c r="H151" s="5">
        <f>_xlfn.MINIFS(Detalle!$F$2:$F$687,Detalle!$A$2:$A$687,$A151,Detalle!$C$2:$C$687,$B151)</f>
        <v>122.92</v>
      </c>
      <c r="I151" s="5">
        <f>_xlfn.MAXIFS(Detalle!$F$2:$F$687,Detalle!$A$2:$A$687,$A151,Detalle!$C$2:$C$687,$B151)</f>
        <v>132.078</v>
      </c>
    </row>
    <row r="152" spans="1:9" x14ac:dyDescent="0.25">
      <c r="A152" s="3">
        <v>7</v>
      </c>
      <c r="B152" s="3" t="s">
        <v>11</v>
      </c>
      <c r="C152" s="4">
        <f>COUNTIFS(Detalle!$A$2:$A$687,$A152,Detalle!$C$2:$C$687,$B152)</f>
        <v>2</v>
      </c>
      <c r="D152" s="5">
        <f>AVERAGEIFS(Detalle!$D$2:$D$687,Detalle!$A$2:$A$687,$A152,Detalle!$C$2:$C$687,$B152)</f>
        <v>0.79800000000000004</v>
      </c>
      <c r="E152" s="5">
        <f>_xlfn.MINIFS(Detalle!$D$2:$D$687,Detalle!$A$2:$A$687,$A152,Detalle!$C$2:$C$687,$B152)</f>
        <v>0.72599999999999998</v>
      </c>
      <c r="F152" s="5">
        <f>_xlfn.MAXIFS(Detalle!$D$2:$D$687,Detalle!$A$2:$A$687,$A152,Detalle!$C$2:$C$687,$B152)</f>
        <v>0.87</v>
      </c>
      <c r="G152" s="5">
        <f>AVERAGEIFS(Detalle!$F$2:$F$687,Detalle!$A$2:$A$687,$A152,Detalle!$C$2:$C$687,$B152)</f>
        <v>129.59399999999999</v>
      </c>
      <c r="H152" s="5">
        <f>_xlfn.MINIFS(Detalle!$F$2:$F$687,Detalle!$A$2:$A$687,$A152,Detalle!$C$2:$C$687,$B152)</f>
        <v>104.45</v>
      </c>
      <c r="I152" s="5">
        <f>_xlfn.MAXIFS(Detalle!$F$2:$F$687,Detalle!$A$2:$A$687,$A152,Detalle!$C$2:$C$687,$B152)</f>
        <v>154.738</v>
      </c>
    </row>
    <row r="153" spans="1:9" x14ac:dyDescent="0.25">
      <c r="A153" s="3">
        <v>7</v>
      </c>
      <c r="B153" s="3" t="s">
        <v>15</v>
      </c>
      <c r="C153" s="4">
        <f>COUNTIFS(Detalle!$A$2:$A$687,$A153,Detalle!$C$2:$C$687,$B153)</f>
        <v>3</v>
      </c>
      <c r="D153" s="5">
        <f>AVERAGEIFS(Detalle!$D$2:$D$687,Detalle!$A$2:$A$687,$A153,Detalle!$C$2:$C$687,$B153)</f>
        <v>0.83066666666666666</v>
      </c>
      <c r="E153" s="5">
        <f>_xlfn.MINIFS(Detalle!$D$2:$D$687,Detalle!$A$2:$A$687,$A153,Detalle!$C$2:$C$687,$B153)</f>
        <v>0.72699999999999998</v>
      </c>
      <c r="F153" s="5">
        <f>_xlfn.MAXIFS(Detalle!$D$2:$D$687,Detalle!$A$2:$A$687,$A153,Detalle!$C$2:$C$687,$B153)</f>
        <v>0.93</v>
      </c>
      <c r="G153" s="5">
        <f>AVERAGEIFS(Detalle!$F$2:$F$687,Detalle!$A$2:$A$687,$A153,Detalle!$C$2:$C$687,$B153)</f>
        <v>113.92533333333334</v>
      </c>
      <c r="H153" s="5">
        <f>_xlfn.MINIFS(Detalle!$F$2:$F$687,Detalle!$A$2:$A$687,$A153,Detalle!$C$2:$C$687,$B153)</f>
        <v>85</v>
      </c>
      <c r="I153" s="5">
        <f>_xlfn.MAXIFS(Detalle!$F$2:$F$687,Detalle!$A$2:$A$687,$A153,Detalle!$C$2:$C$687,$B153)</f>
        <v>128.81100000000001</v>
      </c>
    </row>
    <row r="154" spans="1:9" x14ac:dyDescent="0.25">
      <c r="A154" s="3">
        <v>7</v>
      </c>
      <c r="B154" s="3" t="s">
        <v>18</v>
      </c>
      <c r="C154" s="4">
        <f>COUNTIFS(Detalle!$A$2:$A$687,$A154,Detalle!$C$2:$C$687,$B154)</f>
        <v>3</v>
      </c>
      <c r="D154" s="5">
        <f>AVERAGEIFS(Detalle!$D$2:$D$687,Detalle!$A$2:$A$687,$A154,Detalle!$C$2:$C$687,$B154)</f>
        <v>0.93199999999999994</v>
      </c>
      <c r="E154" s="5">
        <f>_xlfn.MINIFS(Detalle!$D$2:$D$687,Detalle!$A$2:$A$687,$A154,Detalle!$C$2:$C$687,$B154)</f>
        <v>0.89200000000000002</v>
      </c>
      <c r="F154" s="5">
        <f>_xlfn.MAXIFS(Detalle!$D$2:$D$687,Detalle!$A$2:$A$687,$A154,Detalle!$C$2:$C$687,$B154)</f>
        <v>0.98399999999999999</v>
      </c>
      <c r="G154" s="5">
        <f>AVERAGEIFS(Detalle!$F$2:$F$687,Detalle!$A$2:$A$687,$A154,Detalle!$C$2:$C$687,$B154)</f>
        <v>119.52666666666669</v>
      </c>
      <c r="H154" s="5">
        <f>_xlfn.MINIFS(Detalle!$F$2:$F$687,Detalle!$A$2:$A$687,$A154,Detalle!$C$2:$C$687,$B154)</f>
        <v>93.494</v>
      </c>
      <c r="I154" s="5">
        <f>_xlfn.MAXIFS(Detalle!$F$2:$F$687,Detalle!$A$2:$A$687,$A154,Detalle!$C$2:$C$687,$B154)</f>
        <v>132.72900000000001</v>
      </c>
    </row>
    <row r="155" spans="1:9" x14ac:dyDescent="0.25">
      <c r="A155" s="3">
        <v>7</v>
      </c>
      <c r="B155" s="3" t="s">
        <v>35</v>
      </c>
      <c r="C155" s="4">
        <f>COUNTIFS(Detalle!$A$2:$A$687,$A155,Detalle!$C$2:$C$687,$B155)</f>
        <v>2</v>
      </c>
      <c r="D155" s="5">
        <f>AVERAGEIFS(Detalle!$D$2:$D$687,Detalle!$A$2:$A$687,$A155,Detalle!$C$2:$C$687,$B155)</f>
        <v>0.9355</v>
      </c>
      <c r="E155" s="5">
        <f>_xlfn.MINIFS(Detalle!$D$2:$D$687,Detalle!$A$2:$A$687,$A155,Detalle!$C$2:$C$687,$B155)</f>
        <v>0.91100000000000003</v>
      </c>
      <c r="F155" s="5">
        <f>_xlfn.MAXIFS(Detalle!$D$2:$D$687,Detalle!$A$2:$A$687,$A155,Detalle!$C$2:$C$687,$B155)</f>
        <v>0.96</v>
      </c>
      <c r="G155" s="5">
        <f>AVERAGEIFS(Detalle!$F$2:$F$687,Detalle!$A$2:$A$687,$A155,Detalle!$C$2:$C$687,$B155)</f>
        <v>121.65049999999999</v>
      </c>
      <c r="H155" s="5">
        <f>_xlfn.MINIFS(Detalle!$F$2:$F$687,Detalle!$A$2:$A$687,$A155,Detalle!$C$2:$C$687,$B155)</f>
        <v>97.411000000000001</v>
      </c>
      <c r="I155" s="5">
        <f>_xlfn.MAXIFS(Detalle!$F$2:$F$687,Detalle!$A$2:$A$687,$A155,Detalle!$C$2:$C$687,$B155)</f>
        <v>145.88999999999999</v>
      </c>
    </row>
    <row r="156" spans="1:9" x14ac:dyDescent="0.25">
      <c r="A156" s="3">
        <v>7</v>
      </c>
      <c r="B156" s="3" t="s">
        <v>17</v>
      </c>
      <c r="C156" s="4">
        <f>COUNTIFS(Detalle!$A$2:$A$687,$A156,Detalle!$C$2:$C$687,$B156)</f>
        <v>2</v>
      </c>
      <c r="D156" s="5">
        <f>AVERAGEIFS(Detalle!$D$2:$D$687,Detalle!$A$2:$A$687,$A156,Detalle!$C$2:$C$687,$B156)</f>
        <v>0.89700000000000002</v>
      </c>
      <c r="E156" s="5">
        <f>_xlfn.MINIFS(Detalle!$D$2:$D$687,Detalle!$A$2:$A$687,$A156,Detalle!$C$2:$C$687,$B156)</f>
        <v>0.874</v>
      </c>
      <c r="F156" s="5">
        <f>_xlfn.MAXIFS(Detalle!$D$2:$D$687,Detalle!$A$2:$A$687,$A156,Detalle!$C$2:$C$687,$B156)</f>
        <v>0.92</v>
      </c>
      <c r="G156" s="5">
        <f>AVERAGEIFS(Detalle!$F$2:$F$687,Detalle!$A$2:$A$687,$A156,Detalle!$C$2:$C$687,$B156)</f>
        <v>101.5205</v>
      </c>
      <c r="H156" s="5">
        <f>_xlfn.MINIFS(Detalle!$F$2:$F$687,Detalle!$A$2:$A$687,$A156,Detalle!$C$2:$C$687,$B156)</f>
        <v>88.619</v>
      </c>
      <c r="I156" s="5">
        <f>_xlfn.MAXIFS(Detalle!$F$2:$F$687,Detalle!$A$2:$A$687,$A156,Detalle!$C$2:$C$687,$B156)</f>
        <v>114.422</v>
      </c>
    </row>
    <row r="157" spans="1:9" x14ac:dyDescent="0.25">
      <c r="A157" s="3">
        <v>7</v>
      </c>
      <c r="B157" s="3" t="s">
        <v>16</v>
      </c>
      <c r="C157" s="4">
        <f>COUNTIFS(Detalle!$A$2:$A$687,$A157,Detalle!$C$2:$C$687,$B157)</f>
        <v>2</v>
      </c>
      <c r="D157" s="5">
        <f>AVERAGEIFS(Detalle!$D$2:$D$687,Detalle!$A$2:$A$687,$A157,Detalle!$C$2:$C$687,$B157)</f>
        <v>0.86799999999999999</v>
      </c>
      <c r="E157" s="5">
        <f>_xlfn.MINIFS(Detalle!$D$2:$D$687,Detalle!$A$2:$A$687,$A157,Detalle!$C$2:$C$687,$B157)</f>
        <v>0.82299999999999995</v>
      </c>
      <c r="F157" s="5">
        <f>_xlfn.MAXIFS(Detalle!$D$2:$D$687,Detalle!$A$2:$A$687,$A157,Detalle!$C$2:$C$687,$B157)</f>
        <v>0.91300000000000003</v>
      </c>
      <c r="G157" s="5">
        <f>AVERAGEIFS(Detalle!$F$2:$F$687,Detalle!$A$2:$A$687,$A157,Detalle!$C$2:$C$687,$B157)</f>
        <v>100.6455</v>
      </c>
      <c r="H157" s="5">
        <f>_xlfn.MINIFS(Detalle!$F$2:$F$687,Detalle!$A$2:$A$687,$A157,Detalle!$C$2:$C$687,$B157)</f>
        <v>96.278000000000006</v>
      </c>
      <c r="I157" s="5">
        <f>_xlfn.MAXIFS(Detalle!$F$2:$F$687,Detalle!$A$2:$A$687,$A157,Detalle!$C$2:$C$687,$B157)</f>
        <v>105.01300000000001</v>
      </c>
    </row>
    <row r="158" spans="1:9" x14ac:dyDescent="0.25">
      <c r="A158" s="3">
        <v>7</v>
      </c>
      <c r="B158" s="3" t="s">
        <v>13</v>
      </c>
      <c r="C158" s="4">
        <f>COUNTIFS(Detalle!$A$2:$A$687,$A158,Detalle!$C$2:$C$687,$B158)</f>
        <v>2</v>
      </c>
      <c r="D158" s="5">
        <f>AVERAGEIFS(Detalle!$D$2:$D$687,Detalle!$A$2:$A$687,$A158,Detalle!$C$2:$C$687,$B158)</f>
        <v>0.89749999999999996</v>
      </c>
      <c r="E158" s="5">
        <f>_xlfn.MINIFS(Detalle!$D$2:$D$687,Detalle!$A$2:$A$687,$A158,Detalle!$C$2:$C$687,$B158)</f>
        <v>0.83</v>
      </c>
      <c r="F158" s="5">
        <f>_xlfn.MAXIFS(Detalle!$D$2:$D$687,Detalle!$A$2:$A$687,$A158,Detalle!$C$2:$C$687,$B158)</f>
        <v>0.96499999999999997</v>
      </c>
      <c r="G158" s="5">
        <f>AVERAGEIFS(Detalle!$F$2:$F$687,Detalle!$A$2:$A$687,$A158,Detalle!$C$2:$C$687,$B158)</f>
        <v>128.23050000000001</v>
      </c>
      <c r="H158" s="5">
        <f>_xlfn.MINIFS(Detalle!$F$2:$F$687,Detalle!$A$2:$A$687,$A158,Detalle!$C$2:$C$687,$B158)</f>
        <v>126.93600000000001</v>
      </c>
      <c r="I158" s="5">
        <f>_xlfn.MAXIFS(Detalle!$F$2:$F$687,Detalle!$A$2:$A$687,$A158,Detalle!$C$2:$C$687,$B158)</f>
        <v>129.52500000000001</v>
      </c>
    </row>
    <row r="159" spans="1:9" x14ac:dyDescent="0.25">
      <c r="A159" s="3">
        <v>7</v>
      </c>
      <c r="B159" s="3" t="s">
        <v>28</v>
      </c>
      <c r="C159" s="4">
        <f>COUNTIFS(Detalle!$A$2:$A$687,$A159,Detalle!$C$2:$C$687,$B159)</f>
        <v>2</v>
      </c>
      <c r="D159" s="5">
        <f>AVERAGEIFS(Detalle!$D$2:$D$687,Detalle!$A$2:$A$687,$A159,Detalle!$C$2:$C$687,$B159)</f>
        <v>0.82150000000000001</v>
      </c>
      <c r="E159" s="5">
        <f>_xlfn.MINIFS(Detalle!$D$2:$D$687,Detalle!$A$2:$A$687,$A159,Detalle!$C$2:$C$687,$B159)</f>
        <v>0.80700000000000005</v>
      </c>
      <c r="F159" s="5">
        <f>_xlfn.MAXIFS(Detalle!$D$2:$D$687,Detalle!$A$2:$A$687,$A159,Detalle!$C$2:$C$687,$B159)</f>
        <v>0.83599999999999997</v>
      </c>
      <c r="G159" s="5">
        <f>AVERAGEIFS(Detalle!$F$2:$F$687,Detalle!$A$2:$A$687,$A159,Detalle!$C$2:$C$687,$B159)</f>
        <v>107.102</v>
      </c>
      <c r="H159" s="5">
        <f>_xlfn.MINIFS(Detalle!$F$2:$F$687,Detalle!$A$2:$A$687,$A159,Detalle!$C$2:$C$687,$B159)</f>
        <v>99.406999999999996</v>
      </c>
      <c r="I159" s="5">
        <f>_xlfn.MAXIFS(Detalle!$F$2:$F$687,Detalle!$A$2:$A$687,$A159,Detalle!$C$2:$C$687,$B159)</f>
        <v>114.797</v>
      </c>
    </row>
    <row r="160" spans="1:9" x14ac:dyDescent="0.25">
      <c r="A160" s="3">
        <v>7</v>
      </c>
      <c r="B160" s="3" t="s">
        <v>37</v>
      </c>
      <c r="C160" s="4">
        <f>COUNTIFS(Detalle!$A$2:$A$687,$A160,Detalle!$C$2:$C$687,$B160)</f>
        <v>1</v>
      </c>
      <c r="D160" s="5">
        <f>AVERAGEIFS(Detalle!$D$2:$D$687,Detalle!$A$2:$A$687,$A160,Detalle!$C$2:$C$687,$B160)</f>
        <v>0.76100000000000001</v>
      </c>
      <c r="E160" s="5">
        <f>_xlfn.MINIFS(Detalle!$D$2:$D$687,Detalle!$A$2:$A$687,$A160,Detalle!$C$2:$C$687,$B160)</f>
        <v>0.76100000000000001</v>
      </c>
      <c r="F160" s="5">
        <f>_xlfn.MAXIFS(Detalle!$D$2:$D$687,Detalle!$A$2:$A$687,$A160,Detalle!$C$2:$C$687,$B160)</f>
        <v>0.76100000000000001</v>
      </c>
      <c r="G160" s="5">
        <f>AVERAGEIFS(Detalle!$F$2:$F$687,Detalle!$A$2:$A$687,$A160,Detalle!$C$2:$C$687,$B160)</f>
        <v>143.631</v>
      </c>
      <c r="H160" s="5">
        <f>_xlfn.MINIFS(Detalle!$F$2:$F$687,Detalle!$A$2:$A$687,$A160,Detalle!$C$2:$C$687,$B160)</f>
        <v>143.631</v>
      </c>
      <c r="I160" s="5">
        <f>_xlfn.MAXIFS(Detalle!$F$2:$F$687,Detalle!$A$2:$A$687,$A160,Detalle!$C$2:$C$687,$B160)</f>
        <v>143.631</v>
      </c>
    </row>
    <row r="161" spans="1:9" x14ac:dyDescent="0.25">
      <c r="A161" s="3">
        <v>7</v>
      </c>
      <c r="B161" s="3" t="s">
        <v>21</v>
      </c>
      <c r="C161" s="4">
        <f>COUNTIFS(Detalle!$A$2:$A$687,$A161,Detalle!$C$2:$C$687,$B161)</f>
        <v>1</v>
      </c>
      <c r="D161" s="5">
        <f>AVERAGEIFS(Detalle!$D$2:$D$687,Detalle!$A$2:$A$687,$A161,Detalle!$C$2:$C$687,$B161)</f>
        <v>0.8</v>
      </c>
      <c r="E161" s="5">
        <f>_xlfn.MINIFS(Detalle!$D$2:$D$687,Detalle!$A$2:$A$687,$A161,Detalle!$C$2:$C$687,$B161)</f>
        <v>0.8</v>
      </c>
      <c r="F161" s="5">
        <f>_xlfn.MAXIFS(Detalle!$D$2:$D$687,Detalle!$A$2:$A$687,$A161,Detalle!$C$2:$C$687,$B161)</f>
        <v>0.8</v>
      </c>
      <c r="G161" s="5">
        <f>AVERAGEIFS(Detalle!$F$2:$F$687,Detalle!$A$2:$A$687,$A161,Detalle!$C$2:$C$687,$B161)</f>
        <v>85</v>
      </c>
      <c r="H161" s="5">
        <f>_xlfn.MINIFS(Detalle!$F$2:$F$687,Detalle!$A$2:$A$687,$A161,Detalle!$C$2:$C$687,$B161)</f>
        <v>85</v>
      </c>
      <c r="I161" s="5">
        <f>_xlfn.MAXIFS(Detalle!$F$2:$F$687,Detalle!$A$2:$A$687,$A161,Detalle!$C$2:$C$687,$B161)</f>
        <v>85</v>
      </c>
    </row>
    <row r="162" spans="1:9" x14ac:dyDescent="0.25">
      <c r="A162" s="3">
        <v>7</v>
      </c>
      <c r="B162" s="3" t="s">
        <v>20</v>
      </c>
      <c r="C162" s="4">
        <f>COUNTIFS(Detalle!$A$2:$A$687,$A162,Detalle!$C$2:$C$687,$B162)</f>
        <v>3</v>
      </c>
      <c r="D162" s="5">
        <f>AVERAGEIFS(Detalle!$D$2:$D$687,Detalle!$A$2:$A$687,$A162,Detalle!$C$2:$C$687,$B162)</f>
        <v>0.85499999999999998</v>
      </c>
      <c r="E162" s="5">
        <f>_xlfn.MINIFS(Detalle!$D$2:$D$687,Detalle!$A$2:$A$687,$A162,Detalle!$C$2:$C$687,$B162)</f>
        <v>0.81499999999999995</v>
      </c>
      <c r="F162" s="5">
        <f>_xlfn.MAXIFS(Detalle!$D$2:$D$687,Detalle!$A$2:$A$687,$A162,Detalle!$C$2:$C$687,$B162)</f>
        <v>0.878</v>
      </c>
      <c r="G162" s="5">
        <f>AVERAGEIFS(Detalle!$F$2:$F$687,Detalle!$A$2:$A$687,$A162,Detalle!$C$2:$C$687,$B162)</f>
        <v>157.17433333333335</v>
      </c>
      <c r="H162" s="5">
        <f>_xlfn.MINIFS(Detalle!$F$2:$F$687,Detalle!$A$2:$A$687,$A162,Detalle!$C$2:$C$687,$B162)</f>
        <v>153.90700000000001</v>
      </c>
      <c r="I162" s="5">
        <f>_xlfn.MAXIFS(Detalle!$F$2:$F$687,Detalle!$A$2:$A$687,$A162,Detalle!$C$2:$C$687,$B162)</f>
        <v>162.21700000000001</v>
      </c>
    </row>
    <row r="163" spans="1:9" x14ac:dyDescent="0.25">
      <c r="A163" s="3">
        <v>8</v>
      </c>
      <c r="B163" s="3" t="s">
        <v>23</v>
      </c>
      <c r="C163" s="4">
        <f>COUNTIFS(Detalle!$A$2:$A$687,$A163,Detalle!$C$2:$C$687,$B163)</f>
        <v>2</v>
      </c>
      <c r="D163" s="5">
        <f>AVERAGEIFS(Detalle!$D$2:$D$687,Detalle!$A$2:$A$687,$A163,Detalle!$C$2:$C$687,$B163)</f>
        <v>0.90349999999999997</v>
      </c>
      <c r="E163" s="5">
        <f>_xlfn.MINIFS(Detalle!$D$2:$D$687,Detalle!$A$2:$A$687,$A163,Detalle!$C$2:$C$687,$B163)</f>
        <v>0.88400000000000001</v>
      </c>
      <c r="F163" s="5">
        <f>_xlfn.MAXIFS(Detalle!$D$2:$D$687,Detalle!$A$2:$A$687,$A163,Detalle!$C$2:$C$687,$B163)</f>
        <v>0.92300000000000004</v>
      </c>
      <c r="G163" s="5">
        <f>AVERAGEIFS(Detalle!$F$2:$F$687,Detalle!$A$2:$A$687,$A163,Detalle!$C$2:$C$687,$B163)</f>
        <v>110.2205</v>
      </c>
      <c r="H163" s="5">
        <f>_xlfn.MINIFS(Detalle!$F$2:$F$687,Detalle!$A$2:$A$687,$A163,Detalle!$C$2:$C$687,$B163)</f>
        <v>110.06</v>
      </c>
      <c r="I163" s="5">
        <f>_xlfn.MAXIFS(Detalle!$F$2:$F$687,Detalle!$A$2:$A$687,$A163,Detalle!$C$2:$C$687,$B163)</f>
        <v>110.381</v>
      </c>
    </row>
    <row r="164" spans="1:9" x14ac:dyDescent="0.25">
      <c r="A164" s="3">
        <v>8</v>
      </c>
      <c r="B164" s="3" t="s">
        <v>25</v>
      </c>
      <c r="C164" s="4">
        <f>COUNTIFS(Detalle!$A$2:$A$687,$A164,Detalle!$C$2:$C$687,$B164)</f>
        <v>1</v>
      </c>
      <c r="D164" s="5">
        <f>AVERAGEIFS(Detalle!$D$2:$D$687,Detalle!$A$2:$A$687,$A164,Detalle!$C$2:$C$687,$B164)</f>
        <v>0.76500000000000001</v>
      </c>
      <c r="E164" s="5">
        <f>_xlfn.MINIFS(Detalle!$D$2:$D$687,Detalle!$A$2:$A$687,$A164,Detalle!$C$2:$C$687,$B164)</f>
        <v>0.76500000000000001</v>
      </c>
      <c r="F164" s="5">
        <f>_xlfn.MAXIFS(Detalle!$D$2:$D$687,Detalle!$A$2:$A$687,$A164,Detalle!$C$2:$C$687,$B164)</f>
        <v>0.76500000000000001</v>
      </c>
      <c r="G164" s="5">
        <f>AVERAGEIFS(Detalle!$F$2:$F$687,Detalle!$A$2:$A$687,$A164,Detalle!$C$2:$C$687,$B164)</f>
        <v>89.396000000000001</v>
      </c>
      <c r="H164" s="5">
        <f>_xlfn.MINIFS(Detalle!$F$2:$F$687,Detalle!$A$2:$A$687,$A164,Detalle!$C$2:$C$687,$B164)</f>
        <v>89.396000000000001</v>
      </c>
      <c r="I164" s="5">
        <f>_xlfn.MAXIFS(Detalle!$F$2:$F$687,Detalle!$A$2:$A$687,$A164,Detalle!$C$2:$C$687,$B164)</f>
        <v>89.396000000000001</v>
      </c>
    </row>
    <row r="165" spans="1:9" x14ac:dyDescent="0.25">
      <c r="A165" s="3">
        <v>8</v>
      </c>
      <c r="B165" s="3" t="s">
        <v>31</v>
      </c>
      <c r="C165" s="4">
        <f>COUNTIFS(Detalle!$A$2:$A$687,$A165,Detalle!$C$2:$C$687,$B165)</f>
        <v>2</v>
      </c>
      <c r="D165" s="5">
        <f>AVERAGEIFS(Detalle!$D$2:$D$687,Detalle!$A$2:$A$687,$A165,Detalle!$C$2:$C$687,$B165)</f>
        <v>0.85450000000000004</v>
      </c>
      <c r="E165" s="5">
        <f>_xlfn.MINIFS(Detalle!$D$2:$D$687,Detalle!$A$2:$A$687,$A165,Detalle!$C$2:$C$687,$B165)</f>
        <v>0.83699999999999997</v>
      </c>
      <c r="F165" s="5">
        <f>_xlfn.MAXIFS(Detalle!$D$2:$D$687,Detalle!$A$2:$A$687,$A165,Detalle!$C$2:$C$687,$B165)</f>
        <v>0.872</v>
      </c>
      <c r="G165" s="5">
        <f>AVERAGEIFS(Detalle!$F$2:$F$687,Detalle!$A$2:$A$687,$A165,Detalle!$C$2:$C$687,$B165)</f>
        <v>90.666499999999999</v>
      </c>
      <c r="H165" s="5">
        <f>_xlfn.MINIFS(Detalle!$F$2:$F$687,Detalle!$A$2:$A$687,$A165,Detalle!$C$2:$C$687,$B165)</f>
        <v>85</v>
      </c>
      <c r="I165" s="5">
        <f>_xlfn.MAXIFS(Detalle!$F$2:$F$687,Detalle!$A$2:$A$687,$A165,Detalle!$C$2:$C$687,$B165)</f>
        <v>96.332999999999998</v>
      </c>
    </row>
    <row r="166" spans="1:9" x14ac:dyDescent="0.25">
      <c r="A166" s="3">
        <v>8</v>
      </c>
      <c r="B166" s="3" t="s">
        <v>29</v>
      </c>
      <c r="C166" s="4">
        <f>COUNTIFS(Detalle!$A$2:$A$687,$A166,Detalle!$C$2:$C$687,$B166)</f>
        <v>2</v>
      </c>
      <c r="D166" s="5">
        <f>AVERAGEIFS(Detalle!$D$2:$D$687,Detalle!$A$2:$A$687,$A166,Detalle!$C$2:$C$687,$B166)</f>
        <v>0.88649999999999995</v>
      </c>
      <c r="E166" s="5">
        <f>_xlfn.MINIFS(Detalle!$D$2:$D$687,Detalle!$A$2:$A$687,$A166,Detalle!$C$2:$C$687,$B166)</f>
        <v>0.81699999999999995</v>
      </c>
      <c r="F166" s="5">
        <f>_xlfn.MAXIFS(Detalle!$D$2:$D$687,Detalle!$A$2:$A$687,$A166,Detalle!$C$2:$C$687,$B166)</f>
        <v>0.95599999999999996</v>
      </c>
      <c r="G166" s="5">
        <f>AVERAGEIFS(Detalle!$F$2:$F$687,Detalle!$A$2:$A$687,$A166,Detalle!$C$2:$C$687,$B166)</f>
        <v>141.18799999999999</v>
      </c>
      <c r="H166" s="5">
        <f>_xlfn.MINIFS(Detalle!$F$2:$F$687,Detalle!$A$2:$A$687,$A166,Detalle!$C$2:$C$687,$B166)</f>
        <v>138.405</v>
      </c>
      <c r="I166" s="5">
        <f>_xlfn.MAXIFS(Detalle!$F$2:$F$687,Detalle!$A$2:$A$687,$A166,Detalle!$C$2:$C$687,$B166)</f>
        <v>143.971</v>
      </c>
    </row>
    <row r="167" spans="1:9" x14ac:dyDescent="0.25">
      <c r="A167" s="3">
        <v>8</v>
      </c>
      <c r="B167" s="3" t="s">
        <v>33</v>
      </c>
      <c r="C167" s="4">
        <f>COUNTIFS(Detalle!$A$2:$A$687,$A167,Detalle!$C$2:$C$687,$B167)</f>
        <v>3</v>
      </c>
      <c r="D167" s="5">
        <f>AVERAGEIFS(Detalle!$D$2:$D$687,Detalle!$A$2:$A$687,$A167,Detalle!$C$2:$C$687,$B167)</f>
        <v>0.88</v>
      </c>
      <c r="E167" s="5">
        <f>_xlfn.MINIFS(Detalle!$D$2:$D$687,Detalle!$A$2:$A$687,$A167,Detalle!$C$2:$C$687,$B167)</f>
        <v>0.83799999999999997</v>
      </c>
      <c r="F167" s="5">
        <f>_xlfn.MAXIFS(Detalle!$D$2:$D$687,Detalle!$A$2:$A$687,$A167,Detalle!$C$2:$C$687,$B167)</f>
        <v>0.93</v>
      </c>
      <c r="G167" s="5">
        <f>AVERAGEIFS(Detalle!$F$2:$F$687,Detalle!$A$2:$A$687,$A167,Detalle!$C$2:$C$687,$B167)</f>
        <v>119.85666666666667</v>
      </c>
      <c r="H167" s="5">
        <f>_xlfn.MINIFS(Detalle!$F$2:$F$687,Detalle!$A$2:$A$687,$A167,Detalle!$C$2:$C$687,$B167)</f>
        <v>114.502</v>
      </c>
      <c r="I167" s="5">
        <f>_xlfn.MAXIFS(Detalle!$F$2:$F$687,Detalle!$A$2:$A$687,$A167,Detalle!$C$2:$C$687,$B167)</f>
        <v>125.01</v>
      </c>
    </row>
    <row r="168" spans="1:9" x14ac:dyDescent="0.25">
      <c r="A168" s="3">
        <v>8</v>
      </c>
      <c r="B168" s="3" t="s">
        <v>30</v>
      </c>
      <c r="C168" s="4">
        <f>COUNTIFS(Detalle!$A$2:$A$687,$A168,Detalle!$C$2:$C$687,$B168)</f>
        <v>2</v>
      </c>
      <c r="D168" s="5">
        <f>AVERAGEIFS(Detalle!$D$2:$D$687,Detalle!$A$2:$A$687,$A168,Detalle!$C$2:$C$687,$B168)</f>
        <v>0.80400000000000005</v>
      </c>
      <c r="E168" s="5">
        <f>_xlfn.MINIFS(Detalle!$D$2:$D$687,Detalle!$A$2:$A$687,$A168,Detalle!$C$2:$C$687,$B168)</f>
        <v>0.78100000000000003</v>
      </c>
      <c r="F168" s="5">
        <f>_xlfn.MAXIFS(Detalle!$D$2:$D$687,Detalle!$A$2:$A$687,$A168,Detalle!$C$2:$C$687,$B168)</f>
        <v>0.82699999999999996</v>
      </c>
      <c r="G168" s="5">
        <f>AVERAGEIFS(Detalle!$F$2:$F$687,Detalle!$A$2:$A$687,$A168,Detalle!$C$2:$C$687,$B168)</f>
        <v>114.3665</v>
      </c>
      <c r="H168" s="5">
        <f>_xlfn.MINIFS(Detalle!$F$2:$F$687,Detalle!$A$2:$A$687,$A168,Detalle!$C$2:$C$687,$B168)</f>
        <v>85.846999999999994</v>
      </c>
      <c r="I168" s="5">
        <f>_xlfn.MAXIFS(Detalle!$F$2:$F$687,Detalle!$A$2:$A$687,$A168,Detalle!$C$2:$C$687,$B168)</f>
        <v>142.886</v>
      </c>
    </row>
    <row r="169" spans="1:9" x14ac:dyDescent="0.25">
      <c r="A169" s="3">
        <v>8</v>
      </c>
      <c r="B169" s="3" t="s">
        <v>27</v>
      </c>
      <c r="C169" s="4">
        <f>COUNTIFS(Detalle!$A$2:$A$687,$A169,Detalle!$C$2:$C$687,$B169)</f>
        <v>1</v>
      </c>
      <c r="D169" s="5">
        <f>AVERAGEIFS(Detalle!$D$2:$D$687,Detalle!$A$2:$A$687,$A169,Detalle!$C$2:$C$687,$B169)</f>
        <v>0.93400000000000005</v>
      </c>
      <c r="E169" s="5">
        <f>_xlfn.MINIFS(Detalle!$D$2:$D$687,Detalle!$A$2:$A$687,$A169,Detalle!$C$2:$C$687,$B169)</f>
        <v>0.93400000000000005</v>
      </c>
      <c r="F169" s="5">
        <f>_xlfn.MAXIFS(Detalle!$D$2:$D$687,Detalle!$A$2:$A$687,$A169,Detalle!$C$2:$C$687,$B169)</f>
        <v>0.93400000000000005</v>
      </c>
      <c r="G169" s="5">
        <f>AVERAGEIFS(Detalle!$F$2:$F$687,Detalle!$A$2:$A$687,$A169,Detalle!$C$2:$C$687,$B169)</f>
        <v>108.78700000000001</v>
      </c>
      <c r="H169" s="5">
        <f>_xlfn.MINIFS(Detalle!$F$2:$F$687,Detalle!$A$2:$A$687,$A169,Detalle!$C$2:$C$687,$B169)</f>
        <v>108.78700000000001</v>
      </c>
      <c r="I169" s="5">
        <f>_xlfn.MAXIFS(Detalle!$F$2:$F$687,Detalle!$A$2:$A$687,$A169,Detalle!$C$2:$C$687,$B169)</f>
        <v>108.78700000000001</v>
      </c>
    </row>
    <row r="170" spans="1:9" x14ac:dyDescent="0.25">
      <c r="A170" s="3">
        <v>8</v>
      </c>
      <c r="B170" s="3" t="s">
        <v>32</v>
      </c>
      <c r="C170" s="4">
        <f>COUNTIFS(Detalle!$A$2:$A$687,$A170,Detalle!$C$2:$C$687,$B170)</f>
        <v>1</v>
      </c>
      <c r="D170" s="5">
        <f>AVERAGEIFS(Detalle!$D$2:$D$687,Detalle!$A$2:$A$687,$A170,Detalle!$C$2:$C$687,$B170)</f>
        <v>0.83399999999999996</v>
      </c>
      <c r="E170" s="5">
        <f>_xlfn.MINIFS(Detalle!$D$2:$D$687,Detalle!$A$2:$A$687,$A170,Detalle!$C$2:$C$687,$B170)</f>
        <v>0.83399999999999996</v>
      </c>
      <c r="F170" s="5">
        <f>_xlfn.MAXIFS(Detalle!$D$2:$D$687,Detalle!$A$2:$A$687,$A170,Detalle!$C$2:$C$687,$B170)</f>
        <v>0.83399999999999996</v>
      </c>
      <c r="G170" s="5">
        <f>AVERAGEIFS(Detalle!$F$2:$F$687,Detalle!$A$2:$A$687,$A170,Detalle!$C$2:$C$687,$B170)</f>
        <v>107.298</v>
      </c>
      <c r="H170" s="5">
        <f>_xlfn.MINIFS(Detalle!$F$2:$F$687,Detalle!$A$2:$A$687,$A170,Detalle!$C$2:$C$687,$B170)</f>
        <v>107.298</v>
      </c>
      <c r="I170" s="5">
        <f>_xlfn.MAXIFS(Detalle!$F$2:$F$687,Detalle!$A$2:$A$687,$A170,Detalle!$C$2:$C$687,$B170)</f>
        <v>107.298</v>
      </c>
    </row>
    <row r="171" spans="1:9" x14ac:dyDescent="0.25">
      <c r="A171" s="3">
        <v>8</v>
      </c>
      <c r="B171" s="3" t="s">
        <v>24</v>
      </c>
      <c r="C171" s="4">
        <f>COUNTIFS(Detalle!$A$2:$A$687,$A171,Detalle!$C$2:$C$687,$B171)</f>
        <v>3</v>
      </c>
      <c r="D171" s="5">
        <f>AVERAGEIFS(Detalle!$D$2:$D$687,Detalle!$A$2:$A$687,$A171,Detalle!$C$2:$C$687,$B171)</f>
        <v>0.79899999999999993</v>
      </c>
      <c r="E171" s="5">
        <f>_xlfn.MINIFS(Detalle!$D$2:$D$687,Detalle!$A$2:$A$687,$A171,Detalle!$C$2:$C$687,$B171)</f>
        <v>0.71899999999999997</v>
      </c>
      <c r="F171" s="5">
        <f>_xlfn.MAXIFS(Detalle!$D$2:$D$687,Detalle!$A$2:$A$687,$A171,Detalle!$C$2:$C$687,$B171)</f>
        <v>0.89300000000000002</v>
      </c>
      <c r="G171" s="5">
        <f>AVERAGEIFS(Detalle!$F$2:$F$687,Detalle!$A$2:$A$687,$A171,Detalle!$C$2:$C$687,$B171)</f>
        <v>117.38933333333334</v>
      </c>
      <c r="H171" s="5">
        <f>_xlfn.MINIFS(Detalle!$F$2:$F$687,Detalle!$A$2:$A$687,$A171,Detalle!$C$2:$C$687,$B171)</f>
        <v>107.759</v>
      </c>
      <c r="I171" s="5">
        <f>_xlfn.MAXIFS(Detalle!$F$2:$F$687,Detalle!$A$2:$A$687,$A171,Detalle!$C$2:$C$687,$B171)</f>
        <v>124.54900000000001</v>
      </c>
    </row>
    <row r="172" spans="1:9" x14ac:dyDescent="0.25">
      <c r="A172" s="3">
        <v>8</v>
      </c>
      <c r="B172" s="3" t="s">
        <v>39</v>
      </c>
      <c r="C172" s="4">
        <f>COUNTIFS(Detalle!$A$2:$A$687,$A172,Detalle!$C$2:$C$687,$B172)</f>
        <v>1</v>
      </c>
      <c r="D172" s="5">
        <f>AVERAGEIFS(Detalle!$D$2:$D$687,Detalle!$A$2:$A$687,$A172,Detalle!$C$2:$C$687,$B172)</f>
        <v>0.81399999999999995</v>
      </c>
      <c r="E172" s="5">
        <f>_xlfn.MINIFS(Detalle!$D$2:$D$687,Detalle!$A$2:$A$687,$A172,Detalle!$C$2:$C$687,$B172)</f>
        <v>0.81399999999999995</v>
      </c>
      <c r="F172" s="5">
        <f>_xlfn.MAXIFS(Detalle!$D$2:$D$687,Detalle!$A$2:$A$687,$A172,Detalle!$C$2:$C$687,$B172)</f>
        <v>0.81399999999999995</v>
      </c>
      <c r="G172" s="5">
        <f>AVERAGEIFS(Detalle!$F$2:$F$687,Detalle!$A$2:$A$687,$A172,Detalle!$C$2:$C$687,$B172)</f>
        <v>106.84699999999999</v>
      </c>
      <c r="H172" s="5">
        <f>_xlfn.MINIFS(Detalle!$F$2:$F$687,Detalle!$A$2:$A$687,$A172,Detalle!$C$2:$C$687,$B172)</f>
        <v>106.84699999999999</v>
      </c>
      <c r="I172" s="5">
        <f>_xlfn.MAXIFS(Detalle!$F$2:$F$687,Detalle!$A$2:$A$687,$A172,Detalle!$C$2:$C$687,$B172)</f>
        <v>106.84699999999999</v>
      </c>
    </row>
    <row r="173" spans="1:9" x14ac:dyDescent="0.25">
      <c r="A173" s="3">
        <v>8</v>
      </c>
      <c r="B173" s="3" t="s">
        <v>19</v>
      </c>
      <c r="C173" s="4">
        <f>COUNTIFS(Detalle!$A$2:$A$687,$A173,Detalle!$C$2:$C$687,$B173)</f>
        <v>1</v>
      </c>
      <c r="D173" s="5">
        <f>AVERAGEIFS(Detalle!$D$2:$D$687,Detalle!$A$2:$A$687,$A173,Detalle!$C$2:$C$687,$B173)</f>
        <v>0.85399999999999998</v>
      </c>
      <c r="E173" s="5">
        <f>_xlfn.MINIFS(Detalle!$D$2:$D$687,Detalle!$A$2:$A$687,$A173,Detalle!$C$2:$C$687,$B173)</f>
        <v>0.85399999999999998</v>
      </c>
      <c r="F173" s="5">
        <f>_xlfn.MAXIFS(Detalle!$D$2:$D$687,Detalle!$A$2:$A$687,$A173,Detalle!$C$2:$C$687,$B173)</f>
        <v>0.85399999999999998</v>
      </c>
      <c r="G173" s="5">
        <f>AVERAGEIFS(Detalle!$F$2:$F$687,Detalle!$A$2:$A$687,$A173,Detalle!$C$2:$C$687,$B173)</f>
        <v>117.282</v>
      </c>
      <c r="H173" s="5">
        <f>_xlfn.MINIFS(Detalle!$F$2:$F$687,Detalle!$A$2:$A$687,$A173,Detalle!$C$2:$C$687,$B173)</f>
        <v>117.282</v>
      </c>
      <c r="I173" s="5">
        <f>_xlfn.MAXIFS(Detalle!$F$2:$F$687,Detalle!$A$2:$A$687,$A173,Detalle!$C$2:$C$687,$B173)</f>
        <v>117.282</v>
      </c>
    </row>
    <row r="174" spans="1:9" x14ac:dyDescent="0.25">
      <c r="A174" s="3">
        <v>8</v>
      </c>
      <c r="B174" s="3" t="s">
        <v>36</v>
      </c>
      <c r="C174" s="4">
        <f>COUNTIFS(Detalle!$A$2:$A$687,$A174,Detalle!$C$2:$C$687,$B174)</f>
        <v>4</v>
      </c>
      <c r="D174" s="5">
        <f>AVERAGEIFS(Detalle!$D$2:$D$687,Detalle!$A$2:$A$687,$A174,Detalle!$C$2:$C$687,$B174)</f>
        <v>0.84725000000000006</v>
      </c>
      <c r="E174" s="5">
        <f>_xlfn.MINIFS(Detalle!$D$2:$D$687,Detalle!$A$2:$A$687,$A174,Detalle!$C$2:$C$687,$B174)</f>
        <v>0.76800000000000002</v>
      </c>
      <c r="F174" s="5">
        <f>_xlfn.MAXIFS(Detalle!$D$2:$D$687,Detalle!$A$2:$A$687,$A174,Detalle!$C$2:$C$687,$B174)</f>
        <v>0.95</v>
      </c>
      <c r="G174" s="5">
        <f>AVERAGEIFS(Detalle!$F$2:$F$687,Detalle!$A$2:$A$687,$A174,Detalle!$C$2:$C$687,$B174)</f>
        <v>100.97775</v>
      </c>
      <c r="H174" s="5">
        <f>_xlfn.MINIFS(Detalle!$F$2:$F$687,Detalle!$A$2:$A$687,$A174,Detalle!$C$2:$C$687,$B174)</f>
        <v>85</v>
      </c>
      <c r="I174" s="5">
        <f>_xlfn.MAXIFS(Detalle!$F$2:$F$687,Detalle!$A$2:$A$687,$A174,Detalle!$C$2:$C$687,$B174)</f>
        <v>124.47199999999999</v>
      </c>
    </row>
    <row r="175" spans="1:9" x14ac:dyDescent="0.25">
      <c r="A175" s="3">
        <v>8</v>
      </c>
      <c r="B175" s="3" t="s">
        <v>18</v>
      </c>
      <c r="C175" s="4">
        <f>COUNTIFS(Detalle!$A$2:$A$687,$A175,Detalle!$C$2:$C$687,$B175)</f>
        <v>3</v>
      </c>
      <c r="D175" s="5">
        <f>AVERAGEIFS(Detalle!$D$2:$D$687,Detalle!$A$2:$A$687,$A175,Detalle!$C$2:$C$687,$B175)</f>
        <v>0.77766666666666673</v>
      </c>
      <c r="E175" s="5">
        <f>_xlfn.MINIFS(Detalle!$D$2:$D$687,Detalle!$A$2:$A$687,$A175,Detalle!$C$2:$C$687,$B175)</f>
        <v>0.65500000000000003</v>
      </c>
      <c r="F175" s="5">
        <f>_xlfn.MAXIFS(Detalle!$D$2:$D$687,Detalle!$A$2:$A$687,$A175,Detalle!$C$2:$C$687,$B175)</f>
        <v>0.90700000000000003</v>
      </c>
      <c r="G175" s="5">
        <f>AVERAGEIFS(Detalle!$F$2:$F$687,Detalle!$A$2:$A$687,$A175,Detalle!$C$2:$C$687,$B175)</f>
        <v>106.42266666666666</v>
      </c>
      <c r="H175" s="5">
        <f>_xlfn.MINIFS(Detalle!$F$2:$F$687,Detalle!$A$2:$A$687,$A175,Detalle!$C$2:$C$687,$B175)</f>
        <v>89.096999999999994</v>
      </c>
      <c r="I175" s="5">
        <f>_xlfn.MAXIFS(Detalle!$F$2:$F$687,Detalle!$A$2:$A$687,$A175,Detalle!$C$2:$C$687,$B175)</f>
        <v>137.53200000000001</v>
      </c>
    </row>
    <row r="176" spans="1:9" x14ac:dyDescent="0.25">
      <c r="A176" s="3">
        <v>8</v>
      </c>
      <c r="B176" s="3" t="s">
        <v>35</v>
      </c>
      <c r="C176" s="4">
        <f>COUNTIFS(Detalle!$A$2:$A$687,$A176,Detalle!$C$2:$C$687,$B176)</f>
        <v>3</v>
      </c>
      <c r="D176" s="5">
        <f>AVERAGEIFS(Detalle!$D$2:$D$687,Detalle!$A$2:$A$687,$A176,Detalle!$C$2:$C$687,$B176)</f>
        <v>0.86466666666666681</v>
      </c>
      <c r="E176" s="5">
        <f>_xlfn.MINIFS(Detalle!$D$2:$D$687,Detalle!$A$2:$A$687,$A176,Detalle!$C$2:$C$687,$B176)</f>
        <v>0.79</v>
      </c>
      <c r="F176" s="5">
        <f>_xlfn.MAXIFS(Detalle!$D$2:$D$687,Detalle!$A$2:$A$687,$A176,Detalle!$C$2:$C$687,$B176)</f>
        <v>0.92500000000000004</v>
      </c>
      <c r="G176" s="5">
        <f>AVERAGEIFS(Detalle!$F$2:$F$687,Detalle!$A$2:$A$687,$A176,Detalle!$C$2:$C$687,$B176)</f>
        <v>115.753</v>
      </c>
      <c r="H176" s="5">
        <f>_xlfn.MINIFS(Detalle!$F$2:$F$687,Detalle!$A$2:$A$687,$A176,Detalle!$C$2:$C$687,$B176)</f>
        <v>102.15300000000001</v>
      </c>
      <c r="I176" s="5">
        <f>_xlfn.MAXIFS(Detalle!$F$2:$F$687,Detalle!$A$2:$A$687,$A176,Detalle!$C$2:$C$687,$B176)</f>
        <v>124.52800000000001</v>
      </c>
    </row>
    <row r="177" spans="1:9" x14ac:dyDescent="0.25">
      <c r="A177" s="3">
        <v>8</v>
      </c>
      <c r="B177" s="3" t="s">
        <v>17</v>
      </c>
      <c r="C177" s="4">
        <f>COUNTIFS(Detalle!$A$2:$A$687,$A177,Detalle!$C$2:$C$687,$B177)</f>
        <v>2</v>
      </c>
      <c r="D177" s="5">
        <f>AVERAGEIFS(Detalle!$D$2:$D$687,Detalle!$A$2:$A$687,$A177,Detalle!$C$2:$C$687,$B177)</f>
        <v>0.7649999999999999</v>
      </c>
      <c r="E177" s="5">
        <f>_xlfn.MINIFS(Detalle!$D$2:$D$687,Detalle!$A$2:$A$687,$A177,Detalle!$C$2:$C$687,$B177)</f>
        <v>0.71099999999999997</v>
      </c>
      <c r="F177" s="5">
        <f>_xlfn.MAXIFS(Detalle!$D$2:$D$687,Detalle!$A$2:$A$687,$A177,Detalle!$C$2:$C$687,$B177)</f>
        <v>0.81899999999999995</v>
      </c>
      <c r="G177" s="5">
        <f>AVERAGEIFS(Detalle!$F$2:$F$687,Detalle!$A$2:$A$687,$A177,Detalle!$C$2:$C$687,$B177)</f>
        <v>106.61449999999999</v>
      </c>
      <c r="H177" s="5">
        <f>_xlfn.MINIFS(Detalle!$F$2:$F$687,Detalle!$A$2:$A$687,$A177,Detalle!$C$2:$C$687,$B177)</f>
        <v>105.834</v>
      </c>
      <c r="I177" s="5">
        <f>_xlfn.MAXIFS(Detalle!$F$2:$F$687,Detalle!$A$2:$A$687,$A177,Detalle!$C$2:$C$687,$B177)</f>
        <v>107.395</v>
      </c>
    </row>
    <row r="178" spans="1:9" x14ac:dyDescent="0.25">
      <c r="A178" s="3">
        <v>8</v>
      </c>
      <c r="B178" s="3" t="s">
        <v>34</v>
      </c>
      <c r="C178" s="4">
        <f>COUNTIFS(Detalle!$A$2:$A$687,$A178,Detalle!$C$2:$C$687,$B178)</f>
        <v>2</v>
      </c>
      <c r="D178" s="5">
        <f>AVERAGEIFS(Detalle!$D$2:$D$687,Detalle!$A$2:$A$687,$A178,Detalle!$C$2:$C$687,$B178)</f>
        <v>0.87349999999999994</v>
      </c>
      <c r="E178" s="5">
        <f>_xlfn.MINIFS(Detalle!$D$2:$D$687,Detalle!$A$2:$A$687,$A178,Detalle!$C$2:$C$687,$B178)</f>
        <v>0.81399999999999995</v>
      </c>
      <c r="F178" s="5">
        <f>_xlfn.MAXIFS(Detalle!$D$2:$D$687,Detalle!$A$2:$A$687,$A178,Detalle!$C$2:$C$687,$B178)</f>
        <v>0.93300000000000005</v>
      </c>
      <c r="G178" s="5">
        <f>AVERAGEIFS(Detalle!$F$2:$F$687,Detalle!$A$2:$A$687,$A178,Detalle!$C$2:$C$687,$B178)</f>
        <v>85</v>
      </c>
      <c r="H178" s="5">
        <f>_xlfn.MINIFS(Detalle!$F$2:$F$687,Detalle!$A$2:$A$687,$A178,Detalle!$C$2:$C$687,$B178)</f>
        <v>85</v>
      </c>
      <c r="I178" s="5">
        <f>_xlfn.MAXIFS(Detalle!$F$2:$F$687,Detalle!$A$2:$A$687,$A178,Detalle!$C$2:$C$687,$B178)</f>
        <v>85</v>
      </c>
    </row>
    <row r="179" spans="1:9" x14ac:dyDescent="0.25">
      <c r="A179" s="3">
        <v>8</v>
      </c>
      <c r="B179" s="3" t="s">
        <v>16</v>
      </c>
      <c r="C179" s="4">
        <f>COUNTIFS(Detalle!$A$2:$A$687,$A179,Detalle!$C$2:$C$687,$B179)</f>
        <v>3</v>
      </c>
      <c r="D179" s="5">
        <f>AVERAGEIFS(Detalle!$D$2:$D$687,Detalle!$A$2:$A$687,$A179,Detalle!$C$2:$C$687,$B179)</f>
        <v>0.83433333333333337</v>
      </c>
      <c r="E179" s="5">
        <f>_xlfn.MINIFS(Detalle!$D$2:$D$687,Detalle!$A$2:$A$687,$A179,Detalle!$C$2:$C$687,$B179)</f>
        <v>0.76500000000000001</v>
      </c>
      <c r="F179" s="5">
        <f>_xlfn.MAXIFS(Detalle!$D$2:$D$687,Detalle!$A$2:$A$687,$A179,Detalle!$C$2:$C$687,$B179)</f>
        <v>0.91200000000000003</v>
      </c>
      <c r="G179" s="5">
        <f>AVERAGEIFS(Detalle!$F$2:$F$687,Detalle!$A$2:$A$687,$A179,Detalle!$C$2:$C$687,$B179)</f>
        <v>103.51299999999999</v>
      </c>
      <c r="H179" s="5">
        <f>_xlfn.MINIFS(Detalle!$F$2:$F$687,Detalle!$A$2:$A$687,$A179,Detalle!$C$2:$C$687,$B179)</f>
        <v>98.442999999999998</v>
      </c>
      <c r="I179" s="5">
        <f>_xlfn.MAXIFS(Detalle!$F$2:$F$687,Detalle!$A$2:$A$687,$A179,Detalle!$C$2:$C$687,$B179)</f>
        <v>113.589</v>
      </c>
    </row>
    <row r="180" spans="1:9" x14ac:dyDescent="0.25">
      <c r="A180" s="3">
        <v>8</v>
      </c>
      <c r="B180" s="3" t="s">
        <v>28</v>
      </c>
      <c r="C180" s="4">
        <f>COUNTIFS(Detalle!$A$2:$A$687,$A180,Detalle!$C$2:$C$687,$B180)</f>
        <v>2</v>
      </c>
      <c r="D180" s="5">
        <f>AVERAGEIFS(Detalle!$D$2:$D$687,Detalle!$A$2:$A$687,$A180,Detalle!$C$2:$C$687,$B180)</f>
        <v>0.92349999999999999</v>
      </c>
      <c r="E180" s="5">
        <f>_xlfn.MINIFS(Detalle!$D$2:$D$687,Detalle!$A$2:$A$687,$A180,Detalle!$C$2:$C$687,$B180)</f>
        <v>0.86799999999999999</v>
      </c>
      <c r="F180" s="5">
        <f>_xlfn.MAXIFS(Detalle!$D$2:$D$687,Detalle!$A$2:$A$687,$A180,Detalle!$C$2:$C$687,$B180)</f>
        <v>0.97899999999999998</v>
      </c>
      <c r="G180" s="5">
        <f>AVERAGEIFS(Detalle!$F$2:$F$687,Detalle!$A$2:$A$687,$A180,Detalle!$C$2:$C$687,$B180)</f>
        <v>111.05449999999999</v>
      </c>
      <c r="H180" s="5">
        <f>_xlfn.MINIFS(Detalle!$F$2:$F$687,Detalle!$A$2:$A$687,$A180,Detalle!$C$2:$C$687,$B180)</f>
        <v>92.900999999999996</v>
      </c>
      <c r="I180" s="5">
        <f>_xlfn.MAXIFS(Detalle!$F$2:$F$687,Detalle!$A$2:$A$687,$A180,Detalle!$C$2:$C$687,$B180)</f>
        <v>129.208</v>
      </c>
    </row>
    <row r="181" spans="1:9" x14ac:dyDescent="0.25">
      <c r="A181" s="3">
        <v>8</v>
      </c>
      <c r="B181" s="3" t="s">
        <v>37</v>
      </c>
      <c r="C181" s="4">
        <f>COUNTIFS(Detalle!$A$2:$A$687,$A181,Detalle!$C$2:$C$687,$B181)</f>
        <v>1</v>
      </c>
      <c r="D181" s="5">
        <f>AVERAGEIFS(Detalle!$D$2:$D$687,Detalle!$A$2:$A$687,$A181,Detalle!$C$2:$C$687,$B181)</f>
        <v>0.84299999999999997</v>
      </c>
      <c r="E181" s="5">
        <f>_xlfn.MINIFS(Detalle!$D$2:$D$687,Detalle!$A$2:$A$687,$A181,Detalle!$C$2:$C$687,$B181)</f>
        <v>0.84299999999999997</v>
      </c>
      <c r="F181" s="5">
        <f>_xlfn.MAXIFS(Detalle!$D$2:$D$687,Detalle!$A$2:$A$687,$A181,Detalle!$C$2:$C$687,$B181)</f>
        <v>0.84299999999999997</v>
      </c>
      <c r="G181" s="5">
        <f>AVERAGEIFS(Detalle!$F$2:$F$687,Detalle!$A$2:$A$687,$A181,Detalle!$C$2:$C$687,$B181)</f>
        <v>116.71</v>
      </c>
      <c r="H181" s="5">
        <f>_xlfn.MINIFS(Detalle!$F$2:$F$687,Detalle!$A$2:$A$687,$A181,Detalle!$C$2:$C$687,$B181)</f>
        <v>116.71</v>
      </c>
      <c r="I181" s="5">
        <f>_xlfn.MAXIFS(Detalle!$F$2:$F$687,Detalle!$A$2:$A$687,$A181,Detalle!$C$2:$C$687,$B181)</f>
        <v>116.71</v>
      </c>
    </row>
    <row r="182" spans="1:9" x14ac:dyDescent="0.25">
      <c r="A182" s="3">
        <v>8</v>
      </c>
      <c r="B182" s="3" t="s">
        <v>21</v>
      </c>
      <c r="C182" s="4">
        <f>COUNTIFS(Detalle!$A$2:$A$687,$A182,Detalle!$C$2:$C$687,$B182)</f>
        <v>1</v>
      </c>
      <c r="D182" s="5">
        <f>AVERAGEIFS(Detalle!$D$2:$D$687,Detalle!$A$2:$A$687,$A182,Detalle!$C$2:$C$687,$B182)</f>
        <v>0.85799999999999998</v>
      </c>
      <c r="E182" s="5">
        <f>_xlfn.MINIFS(Detalle!$D$2:$D$687,Detalle!$A$2:$A$687,$A182,Detalle!$C$2:$C$687,$B182)</f>
        <v>0.85799999999999998</v>
      </c>
      <c r="F182" s="5">
        <f>_xlfn.MAXIFS(Detalle!$D$2:$D$687,Detalle!$A$2:$A$687,$A182,Detalle!$C$2:$C$687,$B182)</f>
        <v>0.85799999999999998</v>
      </c>
      <c r="G182" s="5">
        <f>AVERAGEIFS(Detalle!$F$2:$F$687,Detalle!$A$2:$A$687,$A182,Detalle!$C$2:$C$687,$B182)</f>
        <v>129.99799999999999</v>
      </c>
      <c r="H182" s="5">
        <f>_xlfn.MINIFS(Detalle!$F$2:$F$687,Detalle!$A$2:$A$687,$A182,Detalle!$C$2:$C$687,$B182)</f>
        <v>129.99799999999999</v>
      </c>
      <c r="I182" s="5">
        <f>_xlfn.MAXIFS(Detalle!$F$2:$F$687,Detalle!$A$2:$A$687,$A182,Detalle!$C$2:$C$687,$B182)</f>
        <v>129.99799999999999</v>
      </c>
    </row>
    <row r="183" spans="1:9" x14ac:dyDescent="0.25">
      <c r="A183" s="3">
        <v>8</v>
      </c>
      <c r="B183" s="3" t="s">
        <v>20</v>
      </c>
      <c r="C183" s="4">
        <f>COUNTIFS(Detalle!$A$2:$A$687,$A183,Detalle!$C$2:$C$687,$B183)</f>
        <v>2</v>
      </c>
      <c r="D183" s="5">
        <f>AVERAGEIFS(Detalle!$D$2:$D$687,Detalle!$A$2:$A$687,$A183,Detalle!$C$2:$C$687,$B183)</f>
        <v>0.8125</v>
      </c>
      <c r="E183" s="5">
        <f>_xlfn.MINIFS(Detalle!$D$2:$D$687,Detalle!$A$2:$A$687,$A183,Detalle!$C$2:$C$687,$B183)</f>
        <v>0.80500000000000005</v>
      </c>
      <c r="F183" s="5">
        <f>_xlfn.MAXIFS(Detalle!$D$2:$D$687,Detalle!$A$2:$A$687,$A183,Detalle!$C$2:$C$687,$B183)</f>
        <v>0.82</v>
      </c>
      <c r="G183" s="5">
        <f>AVERAGEIFS(Detalle!$F$2:$F$687,Detalle!$A$2:$A$687,$A183,Detalle!$C$2:$C$687,$B183)</f>
        <v>143.833</v>
      </c>
      <c r="H183" s="5">
        <f>_xlfn.MINIFS(Detalle!$F$2:$F$687,Detalle!$A$2:$A$687,$A183,Detalle!$C$2:$C$687,$B183)</f>
        <v>141.54300000000001</v>
      </c>
      <c r="I183" s="5">
        <f>_xlfn.MAXIFS(Detalle!$F$2:$F$687,Detalle!$A$2:$A$687,$A183,Detalle!$C$2:$C$687,$B183)</f>
        <v>146.12299999999999</v>
      </c>
    </row>
    <row r="184" spans="1:9" x14ac:dyDescent="0.25">
      <c r="A184" s="3">
        <v>9</v>
      </c>
      <c r="B184" s="3" t="s">
        <v>38</v>
      </c>
      <c r="C184" s="4">
        <f>COUNTIFS(Detalle!$A$2:$A$687,$A184,Detalle!$C$2:$C$687,$B184)</f>
        <v>3</v>
      </c>
      <c r="D184" s="5">
        <f>AVERAGEIFS(Detalle!$D$2:$D$687,Detalle!$A$2:$A$687,$A184,Detalle!$C$2:$C$687,$B184)</f>
        <v>0.92033333333333334</v>
      </c>
      <c r="E184" s="5">
        <f>_xlfn.MINIFS(Detalle!$D$2:$D$687,Detalle!$A$2:$A$687,$A184,Detalle!$C$2:$C$687,$B184)</f>
        <v>0.876</v>
      </c>
      <c r="F184" s="5">
        <f>_xlfn.MAXIFS(Detalle!$D$2:$D$687,Detalle!$A$2:$A$687,$A184,Detalle!$C$2:$C$687,$B184)</f>
        <v>0.95899999999999996</v>
      </c>
      <c r="G184" s="5">
        <f>AVERAGEIFS(Detalle!$F$2:$F$687,Detalle!$A$2:$A$687,$A184,Detalle!$C$2:$C$687,$B184)</f>
        <v>128.72799999999998</v>
      </c>
      <c r="H184" s="5">
        <f>_xlfn.MINIFS(Detalle!$F$2:$F$687,Detalle!$A$2:$A$687,$A184,Detalle!$C$2:$C$687,$B184)</f>
        <v>101.53</v>
      </c>
      <c r="I184" s="5">
        <f>_xlfn.MAXIFS(Detalle!$F$2:$F$687,Detalle!$A$2:$A$687,$A184,Detalle!$C$2:$C$687,$B184)</f>
        <v>142.61000000000001</v>
      </c>
    </row>
    <row r="185" spans="1:9" x14ac:dyDescent="0.25">
      <c r="A185" s="3">
        <v>9</v>
      </c>
      <c r="B185" s="3" t="s">
        <v>23</v>
      </c>
      <c r="C185" s="4">
        <f>COUNTIFS(Detalle!$A$2:$A$687,$A185,Detalle!$C$2:$C$687,$B185)</f>
        <v>1</v>
      </c>
      <c r="D185" s="5">
        <f>AVERAGEIFS(Detalle!$D$2:$D$687,Detalle!$A$2:$A$687,$A185,Detalle!$C$2:$C$687,$B185)</f>
        <v>0.98699999999999999</v>
      </c>
      <c r="E185" s="5">
        <f>_xlfn.MINIFS(Detalle!$D$2:$D$687,Detalle!$A$2:$A$687,$A185,Detalle!$C$2:$C$687,$B185)</f>
        <v>0.98699999999999999</v>
      </c>
      <c r="F185" s="5">
        <f>_xlfn.MAXIFS(Detalle!$D$2:$D$687,Detalle!$A$2:$A$687,$A185,Detalle!$C$2:$C$687,$B185)</f>
        <v>0.98699999999999999</v>
      </c>
      <c r="G185" s="5">
        <f>AVERAGEIFS(Detalle!$F$2:$F$687,Detalle!$A$2:$A$687,$A185,Detalle!$C$2:$C$687,$B185)</f>
        <v>120.20399999999999</v>
      </c>
      <c r="H185" s="5">
        <f>_xlfn.MINIFS(Detalle!$F$2:$F$687,Detalle!$A$2:$A$687,$A185,Detalle!$C$2:$C$687,$B185)</f>
        <v>120.20399999999999</v>
      </c>
      <c r="I185" s="5">
        <f>_xlfn.MAXIFS(Detalle!$F$2:$F$687,Detalle!$A$2:$A$687,$A185,Detalle!$C$2:$C$687,$B185)</f>
        <v>120.20399999999999</v>
      </c>
    </row>
    <row r="186" spans="1:9" x14ac:dyDescent="0.25">
      <c r="A186" s="3">
        <v>9</v>
      </c>
      <c r="B186" s="3" t="s">
        <v>25</v>
      </c>
      <c r="C186" s="4">
        <f>COUNTIFS(Detalle!$A$2:$A$687,$A186,Detalle!$C$2:$C$687,$B186)</f>
        <v>1</v>
      </c>
      <c r="D186" s="5">
        <f>AVERAGEIFS(Detalle!$D$2:$D$687,Detalle!$A$2:$A$687,$A186,Detalle!$C$2:$C$687,$B186)</f>
        <v>0.92300000000000004</v>
      </c>
      <c r="E186" s="5">
        <f>_xlfn.MINIFS(Detalle!$D$2:$D$687,Detalle!$A$2:$A$687,$A186,Detalle!$C$2:$C$687,$B186)</f>
        <v>0.92300000000000004</v>
      </c>
      <c r="F186" s="5">
        <f>_xlfn.MAXIFS(Detalle!$D$2:$D$687,Detalle!$A$2:$A$687,$A186,Detalle!$C$2:$C$687,$B186)</f>
        <v>0.92300000000000004</v>
      </c>
      <c r="G186" s="5">
        <f>AVERAGEIFS(Detalle!$F$2:$F$687,Detalle!$A$2:$A$687,$A186,Detalle!$C$2:$C$687,$B186)</f>
        <v>90.453999999999994</v>
      </c>
      <c r="H186" s="5">
        <f>_xlfn.MINIFS(Detalle!$F$2:$F$687,Detalle!$A$2:$A$687,$A186,Detalle!$C$2:$C$687,$B186)</f>
        <v>90.453999999999994</v>
      </c>
      <c r="I186" s="5">
        <f>_xlfn.MAXIFS(Detalle!$F$2:$F$687,Detalle!$A$2:$A$687,$A186,Detalle!$C$2:$C$687,$B186)</f>
        <v>90.453999999999994</v>
      </c>
    </row>
    <row r="187" spans="1:9" x14ac:dyDescent="0.25">
      <c r="A187" s="3">
        <v>9</v>
      </c>
      <c r="B187" s="3" t="s">
        <v>31</v>
      </c>
      <c r="C187" s="4">
        <f>COUNTIFS(Detalle!$A$2:$A$687,$A187,Detalle!$C$2:$C$687,$B187)</f>
        <v>1</v>
      </c>
      <c r="D187" s="5">
        <f>AVERAGEIFS(Detalle!$D$2:$D$687,Detalle!$A$2:$A$687,$A187,Detalle!$C$2:$C$687,$B187)</f>
        <v>0.87</v>
      </c>
      <c r="E187" s="5">
        <f>_xlfn.MINIFS(Detalle!$D$2:$D$687,Detalle!$A$2:$A$687,$A187,Detalle!$C$2:$C$687,$B187)</f>
        <v>0.87</v>
      </c>
      <c r="F187" s="5">
        <f>_xlfn.MAXIFS(Detalle!$D$2:$D$687,Detalle!$A$2:$A$687,$A187,Detalle!$C$2:$C$687,$B187)</f>
        <v>0.87</v>
      </c>
      <c r="G187" s="5">
        <f>AVERAGEIFS(Detalle!$F$2:$F$687,Detalle!$A$2:$A$687,$A187,Detalle!$C$2:$C$687,$B187)</f>
        <v>140.928</v>
      </c>
      <c r="H187" s="5">
        <f>_xlfn.MINIFS(Detalle!$F$2:$F$687,Detalle!$A$2:$A$687,$A187,Detalle!$C$2:$C$687,$B187)</f>
        <v>140.928</v>
      </c>
      <c r="I187" s="5">
        <f>_xlfn.MAXIFS(Detalle!$F$2:$F$687,Detalle!$A$2:$A$687,$A187,Detalle!$C$2:$C$687,$B187)</f>
        <v>140.928</v>
      </c>
    </row>
    <row r="188" spans="1:9" x14ac:dyDescent="0.25">
      <c r="A188" s="3">
        <v>9</v>
      </c>
      <c r="B188" s="3" t="s">
        <v>22</v>
      </c>
      <c r="C188" s="4">
        <f>COUNTIFS(Detalle!$A$2:$A$687,$A188,Detalle!$C$2:$C$687,$B188)</f>
        <v>2</v>
      </c>
      <c r="D188" s="5">
        <f>AVERAGEIFS(Detalle!$D$2:$D$687,Detalle!$A$2:$A$687,$A188,Detalle!$C$2:$C$687,$B188)</f>
        <v>0.89149999999999996</v>
      </c>
      <c r="E188" s="5">
        <f>_xlfn.MINIFS(Detalle!$D$2:$D$687,Detalle!$A$2:$A$687,$A188,Detalle!$C$2:$C$687,$B188)</f>
        <v>0.80400000000000005</v>
      </c>
      <c r="F188" s="5">
        <f>_xlfn.MAXIFS(Detalle!$D$2:$D$687,Detalle!$A$2:$A$687,$A188,Detalle!$C$2:$C$687,$B188)</f>
        <v>0.97899999999999998</v>
      </c>
      <c r="G188" s="5">
        <f>AVERAGEIFS(Detalle!$F$2:$F$687,Detalle!$A$2:$A$687,$A188,Detalle!$C$2:$C$687,$B188)</f>
        <v>130.72899999999998</v>
      </c>
      <c r="H188" s="5">
        <f>_xlfn.MINIFS(Detalle!$F$2:$F$687,Detalle!$A$2:$A$687,$A188,Detalle!$C$2:$C$687,$B188)</f>
        <v>116.982</v>
      </c>
      <c r="I188" s="5">
        <f>_xlfn.MAXIFS(Detalle!$F$2:$F$687,Detalle!$A$2:$A$687,$A188,Detalle!$C$2:$C$687,$B188)</f>
        <v>144.476</v>
      </c>
    </row>
    <row r="189" spans="1:9" x14ac:dyDescent="0.25">
      <c r="A189" s="3">
        <v>9</v>
      </c>
      <c r="B189" s="3" t="s">
        <v>26</v>
      </c>
      <c r="C189" s="4">
        <f>COUNTIFS(Detalle!$A$2:$A$687,$A189,Detalle!$C$2:$C$687,$B189)</f>
        <v>1</v>
      </c>
      <c r="D189" s="5">
        <f>AVERAGEIFS(Detalle!$D$2:$D$687,Detalle!$A$2:$A$687,$A189,Detalle!$C$2:$C$687,$B189)</f>
        <v>0.78200000000000003</v>
      </c>
      <c r="E189" s="5">
        <f>_xlfn.MINIFS(Detalle!$D$2:$D$687,Detalle!$A$2:$A$687,$A189,Detalle!$C$2:$C$687,$B189)</f>
        <v>0.78200000000000003</v>
      </c>
      <c r="F189" s="5">
        <f>_xlfn.MAXIFS(Detalle!$D$2:$D$687,Detalle!$A$2:$A$687,$A189,Detalle!$C$2:$C$687,$B189)</f>
        <v>0.78200000000000003</v>
      </c>
      <c r="G189" s="5">
        <f>AVERAGEIFS(Detalle!$F$2:$F$687,Detalle!$A$2:$A$687,$A189,Detalle!$C$2:$C$687,$B189)</f>
        <v>132.505</v>
      </c>
      <c r="H189" s="5">
        <f>_xlfn.MINIFS(Detalle!$F$2:$F$687,Detalle!$A$2:$A$687,$A189,Detalle!$C$2:$C$687,$B189)</f>
        <v>132.505</v>
      </c>
      <c r="I189" s="5">
        <f>_xlfn.MAXIFS(Detalle!$F$2:$F$687,Detalle!$A$2:$A$687,$A189,Detalle!$C$2:$C$687,$B189)</f>
        <v>132.505</v>
      </c>
    </row>
    <row r="190" spans="1:9" x14ac:dyDescent="0.25">
      <c r="A190" s="3">
        <v>9</v>
      </c>
      <c r="B190" s="3" t="s">
        <v>33</v>
      </c>
      <c r="C190" s="4">
        <f>COUNTIFS(Detalle!$A$2:$A$687,$A190,Detalle!$C$2:$C$687,$B190)</f>
        <v>1</v>
      </c>
      <c r="D190" s="5">
        <f>AVERAGEIFS(Detalle!$D$2:$D$687,Detalle!$A$2:$A$687,$A190,Detalle!$C$2:$C$687,$B190)</f>
        <v>0.83499999999999996</v>
      </c>
      <c r="E190" s="5">
        <f>_xlfn.MINIFS(Detalle!$D$2:$D$687,Detalle!$A$2:$A$687,$A190,Detalle!$C$2:$C$687,$B190)</f>
        <v>0.83499999999999996</v>
      </c>
      <c r="F190" s="5">
        <f>_xlfn.MAXIFS(Detalle!$D$2:$D$687,Detalle!$A$2:$A$687,$A190,Detalle!$C$2:$C$687,$B190)</f>
        <v>0.83499999999999996</v>
      </c>
      <c r="G190" s="5">
        <f>AVERAGEIFS(Detalle!$F$2:$F$687,Detalle!$A$2:$A$687,$A190,Detalle!$C$2:$C$687,$B190)</f>
        <v>123.021</v>
      </c>
      <c r="H190" s="5">
        <f>_xlfn.MINIFS(Detalle!$F$2:$F$687,Detalle!$A$2:$A$687,$A190,Detalle!$C$2:$C$687,$B190)</f>
        <v>123.021</v>
      </c>
      <c r="I190" s="5">
        <f>_xlfn.MAXIFS(Detalle!$F$2:$F$687,Detalle!$A$2:$A$687,$A190,Detalle!$C$2:$C$687,$B190)</f>
        <v>123.021</v>
      </c>
    </row>
    <row r="191" spans="1:9" x14ac:dyDescent="0.25">
      <c r="A191" s="3">
        <v>9</v>
      </c>
      <c r="B191" s="3" t="s">
        <v>27</v>
      </c>
      <c r="C191" s="4">
        <f>COUNTIFS(Detalle!$A$2:$A$687,$A191,Detalle!$C$2:$C$687,$B191)</f>
        <v>1</v>
      </c>
      <c r="D191" s="5">
        <f>AVERAGEIFS(Detalle!$D$2:$D$687,Detalle!$A$2:$A$687,$A191,Detalle!$C$2:$C$687,$B191)</f>
        <v>0.73899999999999999</v>
      </c>
      <c r="E191" s="5">
        <f>_xlfn.MINIFS(Detalle!$D$2:$D$687,Detalle!$A$2:$A$687,$A191,Detalle!$C$2:$C$687,$B191)</f>
        <v>0.73899999999999999</v>
      </c>
      <c r="F191" s="5">
        <f>_xlfn.MAXIFS(Detalle!$D$2:$D$687,Detalle!$A$2:$A$687,$A191,Detalle!$C$2:$C$687,$B191)</f>
        <v>0.73899999999999999</v>
      </c>
      <c r="G191" s="5">
        <f>AVERAGEIFS(Detalle!$F$2:$F$687,Detalle!$A$2:$A$687,$A191,Detalle!$C$2:$C$687,$B191)</f>
        <v>134.041</v>
      </c>
      <c r="H191" s="5">
        <f>_xlfn.MINIFS(Detalle!$F$2:$F$687,Detalle!$A$2:$A$687,$A191,Detalle!$C$2:$C$687,$B191)</f>
        <v>134.041</v>
      </c>
      <c r="I191" s="5">
        <f>_xlfn.MAXIFS(Detalle!$F$2:$F$687,Detalle!$A$2:$A$687,$A191,Detalle!$C$2:$C$687,$B191)</f>
        <v>134.041</v>
      </c>
    </row>
    <row r="192" spans="1:9" x14ac:dyDescent="0.25">
      <c r="A192" s="3">
        <v>9</v>
      </c>
      <c r="B192" s="3" t="s">
        <v>32</v>
      </c>
      <c r="C192" s="4">
        <f>COUNTIFS(Detalle!$A$2:$A$687,$A192,Detalle!$C$2:$C$687,$B192)</f>
        <v>1</v>
      </c>
      <c r="D192" s="5">
        <f>AVERAGEIFS(Detalle!$D$2:$D$687,Detalle!$A$2:$A$687,$A192,Detalle!$C$2:$C$687,$B192)</f>
        <v>0.86399999999999999</v>
      </c>
      <c r="E192" s="5">
        <f>_xlfn.MINIFS(Detalle!$D$2:$D$687,Detalle!$A$2:$A$687,$A192,Detalle!$C$2:$C$687,$B192)</f>
        <v>0.86399999999999999</v>
      </c>
      <c r="F192" s="5">
        <f>_xlfn.MAXIFS(Detalle!$D$2:$D$687,Detalle!$A$2:$A$687,$A192,Detalle!$C$2:$C$687,$B192)</f>
        <v>0.86399999999999999</v>
      </c>
      <c r="G192" s="5">
        <f>AVERAGEIFS(Detalle!$F$2:$F$687,Detalle!$A$2:$A$687,$A192,Detalle!$C$2:$C$687,$B192)</f>
        <v>123.871</v>
      </c>
      <c r="H192" s="5">
        <f>_xlfn.MINIFS(Detalle!$F$2:$F$687,Detalle!$A$2:$A$687,$A192,Detalle!$C$2:$C$687,$B192)</f>
        <v>123.871</v>
      </c>
      <c r="I192" s="5">
        <f>_xlfn.MAXIFS(Detalle!$F$2:$F$687,Detalle!$A$2:$A$687,$A192,Detalle!$C$2:$C$687,$B192)</f>
        <v>123.871</v>
      </c>
    </row>
    <row r="193" spans="1:9" x14ac:dyDescent="0.25">
      <c r="A193" s="3">
        <v>9</v>
      </c>
      <c r="B193" s="3" t="s">
        <v>24</v>
      </c>
      <c r="C193" s="4">
        <f>COUNTIFS(Detalle!$A$2:$A$687,$A193,Detalle!$C$2:$C$687,$B193)</f>
        <v>1</v>
      </c>
      <c r="D193" s="5">
        <f>AVERAGEIFS(Detalle!$D$2:$D$687,Detalle!$A$2:$A$687,$A193,Detalle!$C$2:$C$687,$B193)</f>
        <v>0.84899999999999998</v>
      </c>
      <c r="E193" s="5">
        <f>_xlfn.MINIFS(Detalle!$D$2:$D$687,Detalle!$A$2:$A$687,$A193,Detalle!$C$2:$C$687,$B193)</f>
        <v>0.84899999999999998</v>
      </c>
      <c r="F193" s="5">
        <f>_xlfn.MAXIFS(Detalle!$D$2:$D$687,Detalle!$A$2:$A$687,$A193,Detalle!$C$2:$C$687,$B193)</f>
        <v>0.84899999999999998</v>
      </c>
      <c r="G193" s="5">
        <f>AVERAGEIFS(Detalle!$F$2:$F$687,Detalle!$A$2:$A$687,$A193,Detalle!$C$2:$C$687,$B193)</f>
        <v>128.48699999999999</v>
      </c>
      <c r="H193" s="5">
        <f>_xlfn.MINIFS(Detalle!$F$2:$F$687,Detalle!$A$2:$A$687,$A193,Detalle!$C$2:$C$687,$B193)</f>
        <v>128.48699999999999</v>
      </c>
      <c r="I193" s="5">
        <f>_xlfn.MAXIFS(Detalle!$F$2:$F$687,Detalle!$A$2:$A$687,$A193,Detalle!$C$2:$C$687,$B193)</f>
        <v>128.48699999999999</v>
      </c>
    </row>
    <row r="194" spans="1:9" x14ac:dyDescent="0.25">
      <c r="A194" s="3">
        <v>9</v>
      </c>
      <c r="B194" s="3" t="s">
        <v>39</v>
      </c>
      <c r="C194" s="4">
        <f>COUNTIFS(Detalle!$A$2:$A$687,$A194,Detalle!$C$2:$C$687,$B194)</f>
        <v>3</v>
      </c>
      <c r="D194" s="5">
        <f>AVERAGEIFS(Detalle!$D$2:$D$687,Detalle!$A$2:$A$687,$A194,Detalle!$C$2:$C$687,$B194)</f>
        <v>0.82366666666666666</v>
      </c>
      <c r="E194" s="5">
        <f>_xlfn.MINIFS(Detalle!$D$2:$D$687,Detalle!$A$2:$A$687,$A194,Detalle!$C$2:$C$687,$B194)</f>
        <v>0.78600000000000003</v>
      </c>
      <c r="F194" s="5">
        <f>_xlfn.MAXIFS(Detalle!$D$2:$D$687,Detalle!$A$2:$A$687,$A194,Detalle!$C$2:$C$687,$B194)</f>
        <v>0.88600000000000001</v>
      </c>
      <c r="G194" s="5">
        <f>AVERAGEIFS(Detalle!$F$2:$F$687,Detalle!$A$2:$A$687,$A194,Detalle!$C$2:$C$687,$B194)</f>
        <v>103.34100000000001</v>
      </c>
      <c r="H194" s="5">
        <f>_xlfn.MINIFS(Detalle!$F$2:$F$687,Detalle!$A$2:$A$687,$A194,Detalle!$C$2:$C$687,$B194)</f>
        <v>85</v>
      </c>
      <c r="I194" s="5">
        <f>_xlfn.MAXIFS(Detalle!$F$2:$F$687,Detalle!$A$2:$A$687,$A194,Detalle!$C$2:$C$687,$B194)</f>
        <v>127.33799999999999</v>
      </c>
    </row>
    <row r="195" spans="1:9" x14ac:dyDescent="0.25">
      <c r="A195" s="3">
        <v>9</v>
      </c>
      <c r="B195" s="3" t="s">
        <v>19</v>
      </c>
      <c r="C195" s="4">
        <f>COUNTIFS(Detalle!$A$2:$A$687,$A195,Detalle!$C$2:$C$687,$B195)</f>
        <v>1</v>
      </c>
      <c r="D195" s="5">
        <f>AVERAGEIFS(Detalle!$D$2:$D$687,Detalle!$A$2:$A$687,$A195,Detalle!$C$2:$C$687,$B195)</f>
        <v>0.91300000000000003</v>
      </c>
      <c r="E195" s="5">
        <f>_xlfn.MINIFS(Detalle!$D$2:$D$687,Detalle!$A$2:$A$687,$A195,Detalle!$C$2:$C$687,$B195)</f>
        <v>0.91300000000000003</v>
      </c>
      <c r="F195" s="5">
        <f>_xlfn.MAXIFS(Detalle!$D$2:$D$687,Detalle!$A$2:$A$687,$A195,Detalle!$C$2:$C$687,$B195)</f>
        <v>0.91300000000000003</v>
      </c>
      <c r="G195" s="5">
        <f>AVERAGEIFS(Detalle!$F$2:$F$687,Detalle!$A$2:$A$687,$A195,Detalle!$C$2:$C$687,$B195)</f>
        <v>100.706</v>
      </c>
      <c r="H195" s="5">
        <f>_xlfn.MINIFS(Detalle!$F$2:$F$687,Detalle!$A$2:$A$687,$A195,Detalle!$C$2:$C$687,$B195)</f>
        <v>100.706</v>
      </c>
      <c r="I195" s="5">
        <f>_xlfn.MAXIFS(Detalle!$F$2:$F$687,Detalle!$A$2:$A$687,$A195,Detalle!$C$2:$C$687,$B195)</f>
        <v>100.706</v>
      </c>
    </row>
    <row r="196" spans="1:9" x14ac:dyDescent="0.25">
      <c r="A196" s="3">
        <v>9</v>
      </c>
      <c r="B196" s="3" t="s">
        <v>11</v>
      </c>
      <c r="C196" s="4">
        <f>COUNTIFS(Detalle!$A$2:$A$687,$A196,Detalle!$C$2:$C$687,$B196)</f>
        <v>1</v>
      </c>
      <c r="D196" s="5">
        <f>AVERAGEIFS(Detalle!$D$2:$D$687,Detalle!$A$2:$A$687,$A196,Detalle!$C$2:$C$687,$B196)</f>
        <v>0.88100000000000001</v>
      </c>
      <c r="E196" s="5">
        <f>_xlfn.MINIFS(Detalle!$D$2:$D$687,Detalle!$A$2:$A$687,$A196,Detalle!$C$2:$C$687,$B196)</f>
        <v>0.88100000000000001</v>
      </c>
      <c r="F196" s="5">
        <f>_xlfn.MAXIFS(Detalle!$D$2:$D$687,Detalle!$A$2:$A$687,$A196,Detalle!$C$2:$C$687,$B196)</f>
        <v>0.88100000000000001</v>
      </c>
      <c r="G196" s="5">
        <f>AVERAGEIFS(Detalle!$F$2:$F$687,Detalle!$A$2:$A$687,$A196,Detalle!$C$2:$C$687,$B196)</f>
        <v>150.55000000000001</v>
      </c>
      <c r="H196" s="5">
        <f>_xlfn.MINIFS(Detalle!$F$2:$F$687,Detalle!$A$2:$A$687,$A196,Detalle!$C$2:$C$687,$B196)</f>
        <v>150.55000000000001</v>
      </c>
      <c r="I196" s="5">
        <f>_xlfn.MAXIFS(Detalle!$F$2:$F$687,Detalle!$A$2:$A$687,$A196,Detalle!$C$2:$C$687,$B196)</f>
        <v>150.55000000000001</v>
      </c>
    </row>
    <row r="197" spans="1:9" x14ac:dyDescent="0.25">
      <c r="A197" s="3">
        <v>9</v>
      </c>
      <c r="B197" s="3" t="s">
        <v>36</v>
      </c>
      <c r="C197" s="4">
        <f>COUNTIFS(Detalle!$A$2:$A$687,$A197,Detalle!$C$2:$C$687,$B197)</f>
        <v>2</v>
      </c>
      <c r="D197" s="5">
        <f>AVERAGEIFS(Detalle!$D$2:$D$687,Detalle!$A$2:$A$687,$A197,Detalle!$C$2:$C$687,$B197)</f>
        <v>0.88200000000000001</v>
      </c>
      <c r="E197" s="5">
        <f>_xlfn.MINIFS(Detalle!$D$2:$D$687,Detalle!$A$2:$A$687,$A197,Detalle!$C$2:$C$687,$B197)</f>
        <v>0.874</v>
      </c>
      <c r="F197" s="5">
        <f>_xlfn.MAXIFS(Detalle!$D$2:$D$687,Detalle!$A$2:$A$687,$A197,Detalle!$C$2:$C$687,$B197)</f>
        <v>0.89</v>
      </c>
      <c r="G197" s="5">
        <f>AVERAGEIFS(Detalle!$F$2:$F$687,Detalle!$A$2:$A$687,$A197,Detalle!$C$2:$C$687,$B197)</f>
        <v>105.74299999999999</v>
      </c>
      <c r="H197" s="5">
        <f>_xlfn.MINIFS(Detalle!$F$2:$F$687,Detalle!$A$2:$A$687,$A197,Detalle!$C$2:$C$687,$B197)</f>
        <v>102.303</v>
      </c>
      <c r="I197" s="5">
        <f>_xlfn.MAXIFS(Detalle!$F$2:$F$687,Detalle!$A$2:$A$687,$A197,Detalle!$C$2:$C$687,$B197)</f>
        <v>109.18300000000001</v>
      </c>
    </row>
    <row r="198" spans="1:9" x14ac:dyDescent="0.25">
      <c r="A198" s="3">
        <v>9</v>
      </c>
      <c r="B198" s="3" t="s">
        <v>15</v>
      </c>
      <c r="C198" s="4">
        <f>COUNTIFS(Detalle!$A$2:$A$687,$A198,Detalle!$C$2:$C$687,$B198)</f>
        <v>1</v>
      </c>
      <c r="D198" s="5">
        <f>AVERAGEIFS(Detalle!$D$2:$D$687,Detalle!$A$2:$A$687,$A198,Detalle!$C$2:$C$687,$B198)</f>
        <v>0.88200000000000001</v>
      </c>
      <c r="E198" s="5">
        <f>_xlfn.MINIFS(Detalle!$D$2:$D$687,Detalle!$A$2:$A$687,$A198,Detalle!$C$2:$C$687,$B198)</f>
        <v>0.88200000000000001</v>
      </c>
      <c r="F198" s="5">
        <f>_xlfn.MAXIFS(Detalle!$D$2:$D$687,Detalle!$A$2:$A$687,$A198,Detalle!$C$2:$C$687,$B198)</f>
        <v>0.88200000000000001</v>
      </c>
      <c r="G198" s="5">
        <f>AVERAGEIFS(Detalle!$F$2:$F$687,Detalle!$A$2:$A$687,$A198,Detalle!$C$2:$C$687,$B198)</f>
        <v>98.617000000000004</v>
      </c>
      <c r="H198" s="5">
        <f>_xlfn.MINIFS(Detalle!$F$2:$F$687,Detalle!$A$2:$A$687,$A198,Detalle!$C$2:$C$687,$B198)</f>
        <v>98.617000000000004</v>
      </c>
      <c r="I198" s="5">
        <f>_xlfn.MAXIFS(Detalle!$F$2:$F$687,Detalle!$A$2:$A$687,$A198,Detalle!$C$2:$C$687,$B198)</f>
        <v>98.617000000000004</v>
      </c>
    </row>
    <row r="199" spans="1:9" x14ac:dyDescent="0.25">
      <c r="A199" s="3">
        <v>9</v>
      </c>
      <c r="B199" s="3" t="s">
        <v>18</v>
      </c>
      <c r="C199" s="4">
        <f>COUNTIFS(Detalle!$A$2:$A$687,$A199,Detalle!$C$2:$C$687,$B199)</f>
        <v>1</v>
      </c>
      <c r="D199" s="5">
        <f>AVERAGEIFS(Detalle!$D$2:$D$687,Detalle!$A$2:$A$687,$A199,Detalle!$C$2:$C$687,$B199)</f>
        <v>0.89600000000000002</v>
      </c>
      <c r="E199" s="5">
        <f>_xlfn.MINIFS(Detalle!$D$2:$D$687,Detalle!$A$2:$A$687,$A199,Detalle!$C$2:$C$687,$B199)</f>
        <v>0.89600000000000002</v>
      </c>
      <c r="F199" s="5">
        <f>_xlfn.MAXIFS(Detalle!$D$2:$D$687,Detalle!$A$2:$A$687,$A199,Detalle!$C$2:$C$687,$B199)</f>
        <v>0.89600000000000002</v>
      </c>
      <c r="G199" s="5">
        <f>AVERAGEIFS(Detalle!$F$2:$F$687,Detalle!$A$2:$A$687,$A199,Detalle!$C$2:$C$687,$B199)</f>
        <v>92.927999999999997</v>
      </c>
      <c r="H199" s="5">
        <f>_xlfn.MINIFS(Detalle!$F$2:$F$687,Detalle!$A$2:$A$687,$A199,Detalle!$C$2:$C$687,$B199)</f>
        <v>92.927999999999997</v>
      </c>
      <c r="I199" s="5">
        <f>_xlfn.MAXIFS(Detalle!$F$2:$F$687,Detalle!$A$2:$A$687,$A199,Detalle!$C$2:$C$687,$B199)</f>
        <v>92.927999999999997</v>
      </c>
    </row>
    <row r="200" spans="1:9" x14ac:dyDescent="0.25">
      <c r="A200" s="3">
        <v>9</v>
      </c>
      <c r="B200" s="3" t="s">
        <v>35</v>
      </c>
      <c r="C200" s="4">
        <f>COUNTIFS(Detalle!$A$2:$A$687,$A200,Detalle!$C$2:$C$687,$B200)</f>
        <v>1</v>
      </c>
      <c r="D200" s="5">
        <f>AVERAGEIFS(Detalle!$D$2:$D$687,Detalle!$A$2:$A$687,$A200,Detalle!$C$2:$C$687,$B200)</f>
        <v>0.92800000000000005</v>
      </c>
      <c r="E200" s="5">
        <f>_xlfn.MINIFS(Detalle!$D$2:$D$687,Detalle!$A$2:$A$687,$A200,Detalle!$C$2:$C$687,$B200)</f>
        <v>0.92800000000000005</v>
      </c>
      <c r="F200" s="5">
        <f>_xlfn.MAXIFS(Detalle!$D$2:$D$687,Detalle!$A$2:$A$687,$A200,Detalle!$C$2:$C$687,$B200)</f>
        <v>0.92800000000000005</v>
      </c>
      <c r="G200" s="5">
        <f>AVERAGEIFS(Detalle!$F$2:$F$687,Detalle!$A$2:$A$687,$A200,Detalle!$C$2:$C$687,$B200)</f>
        <v>130.94999999999999</v>
      </c>
      <c r="H200" s="5">
        <f>_xlfn.MINIFS(Detalle!$F$2:$F$687,Detalle!$A$2:$A$687,$A200,Detalle!$C$2:$C$687,$B200)</f>
        <v>130.94999999999999</v>
      </c>
      <c r="I200" s="5">
        <f>_xlfn.MAXIFS(Detalle!$F$2:$F$687,Detalle!$A$2:$A$687,$A200,Detalle!$C$2:$C$687,$B200)</f>
        <v>130.94999999999999</v>
      </c>
    </row>
    <row r="201" spans="1:9" x14ac:dyDescent="0.25">
      <c r="A201" s="3">
        <v>9</v>
      </c>
      <c r="B201" s="3" t="s">
        <v>17</v>
      </c>
      <c r="C201" s="4">
        <f>COUNTIFS(Detalle!$A$2:$A$687,$A201,Detalle!$C$2:$C$687,$B201)</f>
        <v>1</v>
      </c>
      <c r="D201" s="5">
        <f>AVERAGEIFS(Detalle!$D$2:$D$687,Detalle!$A$2:$A$687,$A201,Detalle!$C$2:$C$687,$B201)</f>
        <v>0.95099999999999996</v>
      </c>
      <c r="E201" s="5">
        <f>_xlfn.MINIFS(Detalle!$D$2:$D$687,Detalle!$A$2:$A$687,$A201,Detalle!$C$2:$C$687,$B201)</f>
        <v>0.95099999999999996</v>
      </c>
      <c r="F201" s="5">
        <f>_xlfn.MAXIFS(Detalle!$D$2:$D$687,Detalle!$A$2:$A$687,$A201,Detalle!$C$2:$C$687,$B201)</f>
        <v>0.95099999999999996</v>
      </c>
      <c r="G201" s="5">
        <f>AVERAGEIFS(Detalle!$F$2:$F$687,Detalle!$A$2:$A$687,$A201,Detalle!$C$2:$C$687,$B201)</f>
        <v>124.41</v>
      </c>
      <c r="H201" s="5">
        <f>_xlfn.MINIFS(Detalle!$F$2:$F$687,Detalle!$A$2:$A$687,$A201,Detalle!$C$2:$C$687,$B201)</f>
        <v>124.41</v>
      </c>
      <c r="I201" s="5">
        <f>_xlfn.MAXIFS(Detalle!$F$2:$F$687,Detalle!$A$2:$A$687,$A201,Detalle!$C$2:$C$687,$B201)</f>
        <v>124.41</v>
      </c>
    </row>
    <row r="202" spans="1:9" x14ac:dyDescent="0.25">
      <c r="A202" s="3">
        <v>9</v>
      </c>
      <c r="B202" s="3" t="s">
        <v>34</v>
      </c>
      <c r="C202" s="4">
        <f>COUNTIFS(Detalle!$A$2:$A$687,$A202,Detalle!$C$2:$C$687,$B202)</f>
        <v>4</v>
      </c>
      <c r="D202" s="5">
        <f>AVERAGEIFS(Detalle!$D$2:$D$687,Detalle!$A$2:$A$687,$A202,Detalle!$C$2:$C$687,$B202)</f>
        <v>0.87224999999999997</v>
      </c>
      <c r="E202" s="5">
        <f>_xlfn.MINIFS(Detalle!$D$2:$D$687,Detalle!$A$2:$A$687,$A202,Detalle!$C$2:$C$687,$B202)</f>
        <v>0.76800000000000002</v>
      </c>
      <c r="F202" s="5">
        <f>_xlfn.MAXIFS(Detalle!$D$2:$D$687,Detalle!$A$2:$A$687,$A202,Detalle!$C$2:$C$687,$B202)</f>
        <v>0.95199999999999996</v>
      </c>
      <c r="G202" s="5">
        <f>AVERAGEIFS(Detalle!$F$2:$F$687,Detalle!$A$2:$A$687,$A202,Detalle!$C$2:$C$687,$B202)</f>
        <v>129.69575</v>
      </c>
      <c r="H202" s="5">
        <f>_xlfn.MINIFS(Detalle!$F$2:$F$687,Detalle!$A$2:$A$687,$A202,Detalle!$C$2:$C$687,$B202)</f>
        <v>112.788</v>
      </c>
      <c r="I202" s="5">
        <f>_xlfn.MAXIFS(Detalle!$F$2:$F$687,Detalle!$A$2:$A$687,$A202,Detalle!$C$2:$C$687,$B202)</f>
        <v>141.452</v>
      </c>
    </row>
    <row r="203" spans="1:9" x14ac:dyDescent="0.25">
      <c r="A203" s="3">
        <v>9</v>
      </c>
      <c r="B203" s="3" t="s">
        <v>16</v>
      </c>
      <c r="C203" s="4">
        <f>COUNTIFS(Detalle!$A$2:$A$687,$A203,Detalle!$C$2:$C$687,$B203)</f>
        <v>1</v>
      </c>
      <c r="D203" s="5">
        <f>AVERAGEIFS(Detalle!$D$2:$D$687,Detalle!$A$2:$A$687,$A203,Detalle!$C$2:$C$687,$B203)</f>
        <v>0.85699999999999998</v>
      </c>
      <c r="E203" s="5">
        <f>_xlfn.MINIFS(Detalle!$D$2:$D$687,Detalle!$A$2:$A$687,$A203,Detalle!$C$2:$C$687,$B203)</f>
        <v>0.85699999999999998</v>
      </c>
      <c r="F203" s="5">
        <f>_xlfn.MAXIFS(Detalle!$D$2:$D$687,Detalle!$A$2:$A$687,$A203,Detalle!$C$2:$C$687,$B203)</f>
        <v>0.85699999999999998</v>
      </c>
      <c r="G203" s="5">
        <f>AVERAGEIFS(Detalle!$F$2:$F$687,Detalle!$A$2:$A$687,$A203,Detalle!$C$2:$C$687,$B203)</f>
        <v>122.04300000000001</v>
      </c>
      <c r="H203" s="5">
        <f>_xlfn.MINIFS(Detalle!$F$2:$F$687,Detalle!$A$2:$A$687,$A203,Detalle!$C$2:$C$687,$B203)</f>
        <v>122.04300000000001</v>
      </c>
      <c r="I203" s="5">
        <f>_xlfn.MAXIFS(Detalle!$F$2:$F$687,Detalle!$A$2:$A$687,$A203,Detalle!$C$2:$C$687,$B203)</f>
        <v>122.04300000000001</v>
      </c>
    </row>
    <row r="204" spans="1:9" x14ac:dyDescent="0.25">
      <c r="A204" s="3">
        <v>9</v>
      </c>
      <c r="B204" s="3" t="s">
        <v>13</v>
      </c>
      <c r="C204" s="4">
        <f>COUNTIFS(Detalle!$A$2:$A$687,$A204,Detalle!$C$2:$C$687,$B204)</f>
        <v>2</v>
      </c>
      <c r="D204" s="5">
        <f>AVERAGEIFS(Detalle!$D$2:$D$687,Detalle!$A$2:$A$687,$A204,Detalle!$C$2:$C$687,$B204)</f>
        <v>0.92199999999999993</v>
      </c>
      <c r="E204" s="5">
        <f>_xlfn.MINIFS(Detalle!$D$2:$D$687,Detalle!$A$2:$A$687,$A204,Detalle!$C$2:$C$687,$B204)</f>
        <v>0.872</v>
      </c>
      <c r="F204" s="5">
        <f>_xlfn.MAXIFS(Detalle!$D$2:$D$687,Detalle!$A$2:$A$687,$A204,Detalle!$C$2:$C$687,$B204)</f>
        <v>0.97199999999999998</v>
      </c>
      <c r="G204" s="5">
        <f>AVERAGEIFS(Detalle!$F$2:$F$687,Detalle!$A$2:$A$687,$A204,Detalle!$C$2:$C$687,$B204)</f>
        <v>115.17</v>
      </c>
      <c r="H204" s="5">
        <f>_xlfn.MINIFS(Detalle!$F$2:$F$687,Detalle!$A$2:$A$687,$A204,Detalle!$C$2:$C$687,$B204)</f>
        <v>114.3</v>
      </c>
      <c r="I204" s="5">
        <f>_xlfn.MAXIFS(Detalle!$F$2:$F$687,Detalle!$A$2:$A$687,$A204,Detalle!$C$2:$C$687,$B204)</f>
        <v>116.04</v>
      </c>
    </row>
    <row r="205" spans="1:9" x14ac:dyDescent="0.25">
      <c r="A205" s="3">
        <v>9</v>
      </c>
      <c r="B205" s="3" t="s">
        <v>28</v>
      </c>
      <c r="C205" s="4">
        <f>COUNTIFS(Detalle!$A$2:$A$687,$A205,Detalle!$C$2:$C$687,$B205)</f>
        <v>1</v>
      </c>
      <c r="D205" s="5">
        <f>AVERAGEIFS(Detalle!$D$2:$D$687,Detalle!$A$2:$A$687,$A205,Detalle!$C$2:$C$687,$B205)</f>
        <v>0.91100000000000003</v>
      </c>
      <c r="E205" s="5">
        <f>_xlfn.MINIFS(Detalle!$D$2:$D$687,Detalle!$A$2:$A$687,$A205,Detalle!$C$2:$C$687,$B205)</f>
        <v>0.91100000000000003</v>
      </c>
      <c r="F205" s="5">
        <f>_xlfn.MAXIFS(Detalle!$D$2:$D$687,Detalle!$A$2:$A$687,$A205,Detalle!$C$2:$C$687,$B205)</f>
        <v>0.91100000000000003</v>
      </c>
      <c r="G205" s="5">
        <f>AVERAGEIFS(Detalle!$F$2:$F$687,Detalle!$A$2:$A$687,$A205,Detalle!$C$2:$C$687,$B205)</f>
        <v>106.518</v>
      </c>
      <c r="H205" s="5">
        <f>_xlfn.MINIFS(Detalle!$F$2:$F$687,Detalle!$A$2:$A$687,$A205,Detalle!$C$2:$C$687,$B205)</f>
        <v>106.518</v>
      </c>
      <c r="I205" s="5">
        <f>_xlfn.MAXIFS(Detalle!$F$2:$F$687,Detalle!$A$2:$A$687,$A205,Detalle!$C$2:$C$687,$B205)</f>
        <v>106.518</v>
      </c>
    </row>
    <row r="206" spans="1:9" x14ac:dyDescent="0.25">
      <c r="A206" s="3">
        <v>9</v>
      </c>
      <c r="B206" s="3" t="s">
        <v>37</v>
      </c>
      <c r="C206" s="4">
        <f>COUNTIFS(Detalle!$A$2:$A$687,$A206,Detalle!$C$2:$C$687,$B206)</f>
        <v>2</v>
      </c>
      <c r="D206" s="5">
        <f>AVERAGEIFS(Detalle!$D$2:$D$687,Detalle!$A$2:$A$687,$A206,Detalle!$C$2:$C$687,$B206)</f>
        <v>0.94450000000000001</v>
      </c>
      <c r="E206" s="5">
        <f>_xlfn.MINIFS(Detalle!$D$2:$D$687,Detalle!$A$2:$A$687,$A206,Detalle!$C$2:$C$687,$B206)</f>
        <v>0.93</v>
      </c>
      <c r="F206" s="5">
        <f>_xlfn.MAXIFS(Detalle!$D$2:$D$687,Detalle!$A$2:$A$687,$A206,Detalle!$C$2:$C$687,$B206)</f>
        <v>0.95899999999999996</v>
      </c>
      <c r="G206" s="5">
        <f>AVERAGEIFS(Detalle!$F$2:$F$687,Detalle!$A$2:$A$687,$A206,Detalle!$C$2:$C$687,$B206)</f>
        <v>121.89099999999999</v>
      </c>
      <c r="H206" s="5">
        <f>_xlfn.MINIFS(Detalle!$F$2:$F$687,Detalle!$A$2:$A$687,$A206,Detalle!$C$2:$C$687,$B206)</f>
        <v>119.378</v>
      </c>
      <c r="I206" s="5">
        <f>_xlfn.MAXIFS(Detalle!$F$2:$F$687,Detalle!$A$2:$A$687,$A206,Detalle!$C$2:$C$687,$B206)</f>
        <v>124.404</v>
      </c>
    </row>
    <row r="207" spans="1:9" x14ac:dyDescent="0.25">
      <c r="A207" s="3">
        <v>9</v>
      </c>
      <c r="B207" s="3" t="s">
        <v>21</v>
      </c>
      <c r="C207" s="4">
        <f>COUNTIFS(Detalle!$A$2:$A$687,$A207,Detalle!$C$2:$C$687,$B207)</f>
        <v>2</v>
      </c>
      <c r="D207" s="5">
        <f>AVERAGEIFS(Detalle!$D$2:$D$687,Detalle!$A$2:$A$687,$A207,Detalle!$C$2:$C$687,$B207)</f>
        <v>0.94550000000000001</v>
      </c>
      <c r="E207" s="5">
        <f>_xlfn.MINIFS(Detalle!$D$2:$D$687,Detalle!$A$2:$A$687,$A207,Detalle!$C$2:$C$687,$B207)</f>
        <v>0.94199999999999995</v>
      </c>
      <c r="F207" s="5">
        <f>_xlfn.MAXIFS(Detalle!$D$2:$D$687,Detalle!$A$2:$A$687,$A207,Detalle!$C$2:$C$687,$B207)</f>
        <v>0.94899999999999995</v>
      </c>
      <c r="G207" s="5">
        <f>AVERAGEIFS(Detalle!$F$2:$F$687,Detalle!$A$2:$A$687,$A207,Detalle!$C$2:$C$687,$B207)</f>
        <v>114.33750000000001</v>
      </c>
      <c r="H207" s="5">
        <f>_xlfn.MINIFS(Detalle!$F$2:$F$687,Detalle!$A$2:$A$687,$A207,Detalle!$C$2:$C$687,$B207)</f>
        <v>104.476</v>
      </c>
      <c r="I207" s="5">
        <f>_xlfn.MAXIFS(Detalle!$F$2:$F$687,Detalle!$A$2:$A$687,$A207,Detalle!$C$2:$C$687,$B207)</f>
        <v>124.199</v>
      </c>
    </row>
    <row r="208" spans="1:9" x14ac:dyDescent="0.25">
      <c r="A208" s="3">
        <v>9</v>
      </c>
      <c r="B208" s="3" t="s">
        <v>20</v>
      </c>
      <c r="C208" s="4">
        <f>COUNTIFS(Detalle!$A$2:$A$687,$A208,Detalle!$C$2:$C$687,$B208)</f>
        <v>3</v>
      </c>
      <c r="D208" s="5">
        <f>AVERAGEIFS(Detalle!$D$2:$D$687,Detalle!$A$2:$A$687,$A208,Detalle!$C$2:$C$687,$B208)</f>
        <v>0.8663333333333334</v>
      </c>
      <c r="E208" s="5">
        <f>_xlfn.MINIFS(Detalle!$D$2:$D$687,Detalle!$A$2:$A$687,$A208,Detalle!$C$2:$C$687,$B208)</f>
        <v>0.78</v>
      </c>
      <c r="F208" s="5">
        <f>_xlfn.MAXIFS(Detalle!$D$2:$D$687,Detalle!$A$2:$A$687,$A208,Detalle!$C$2:$C$687,$B208)</f>
        <v>0.98199999999999998</v>
      </c>
      <c r="G208" s="5">
        <f>AVERAGEIFS(Detalle!$F$2:$F$687,Detalle!$A$2:$A$687,$A208,Detalle!$C$2:$C$687,$B208)</f>
        <v>136.61800000000002</v>
      </c>
      <c r="H208" s="5">
        <f>_xlfn.MINIFS(Detalle!$F$2:$F$687,Detalle!$A$2:$A$687,$A208,Detalle!$C$2:$C$687,$B208)</f>
        <v>129.90600000000001</v>
      </c>
      <c r="I208" s="5">
        <f>_xlfn.MAXIFS(Detalle!$F$2:$F$687,Detalle!$A$2:$A$687,$A208,Detalle!$C$2:$C$687,$B208)</f>
        <v>149.559</v>
      </c>
    </row>
    <row r="209" spans="1:9" x14ac:dyDescent="0.25">
      <c r="A209" s="3">
        <v>10</v>
      </c>
      <c r="B209" s="3" t="s">
        <v>38</v>
      </c>
      <c r="C209" s="4">
        <f>COUNTIFS(Detalle!$A$2:$A$687,$A209,Detalle!$C$2:$C$687,$B209)</f>
        <v>2</v>
      </c>
      <c r="D209" s="5">
        <f>AVERAGEIFS(Detalle!$D$2:$D$687,Detalle!$A$2:$A$687,$A209,Detalle!$C$2:$C$687,$B209)</f>
        <v>0.94300000000000006</v>
      </c>
      <c r="E209" s="5">
        <f>_xlfn.MINIFS(Detalle!$D$2:$D$687,Detalle!$A$2:$A$687,$A209,Detalle!$C$2:$C$687,$B209)</f>
        <v>0.93700000000000006</v>
      </c>
      <c r="F209" s="5">
        <f>_xlfn.MAXIFS(Detalle!$D$2:$D$687,Detalle!$A$2:$A$687,$A209,Detalle!$C$2:$C$687,$B209)</f>
        <v>0.94899999999999995</v>
      </c>
      <c r="G209" s="5">
        <f>AVERAGEIFS(Detalle!$F$2:$F$687,Detalle!$A$2:$A$687,$A209,Detalle!$C$2:$C$687,$B209)</f>
        <v>95.628500000000003</v>
      </c>
      <c r="H209" s="5">
        <f>_xlfn.MINIFS(Detalle!$F$2:$F$687,Detalle!$A$2:$A$687,$A209,Detalle!$C$2:$C$687,$B209)</f>
        <v>85.819000000000003</v>
      </c>
      <c r="I209" s="5">
        <f>_xlfn.MAXIFS(Detalle!$F$2:$F$687,Detalle!$A$2:$A$687,$A209,Detalle!$C$2:$C$687,$B209)</f>
        <v>105.438</v>
      </c>
    </row>
    <row r="210" spans="1:9" x14ac:dyDescent="0.25">
      <c r="A210" s="3">
        <v>10</v>
      </c>
      <c r="B210" s="3" t="s">
        <v>23</v>
      </c>
      <c r="C210" s="4">
        <f>COUNTIFS(Detalle!$A$2:$A$687,$A210,Detalle!$C$2:$C$687,$B210)</f>
        <v>2</v>
      </c>
      <c r="D210" s="5">
        <f>AVERAGEIFS(Detalle!$D$2:$D$687,Detalle!$A$2:$A$687,$A210,Detalle!$C$2:$C$687,$B210)</f>
        <v>0.98299999999999998</v>
      </c>
      <c r="E210" s="5">
        <f>_xlfn.MINIFS(Detalle!$D$2:$D$687,Detalle!$A$2:$A$687,$A210,Detalle!$C$2:$C$687,$B210)</f>
        <v>0.97699999999999998</v>
      </c>
      <c r="F210" s="5">
        <f>_xlfn.MAXIFS(Detalle!$D$2:$D$687,Detalle!$A$2:$A$687,$A210,Detalle!$C$2:$C$687,$B210)</f>
        <v>0.98899999999999999</v>
      </c>
      <c r="G210" s="5">
        <f>AVERAGEIFS(Detalle!$F$2:$F$687,Detalle!$A$2:$A$687,$A210,Detalle!$C$2:$C$687,$B210)</f>
        <v>132.78399999999999</v>
      </c>
      <c r="H210" s="5">
        <f>_xlfn.MINIFS(Detalle!$F$2:$F$687,Detalle!$A$2:$A$687,$A210,Detalle!$C$2:$C$687,$B210)</f>
        <v>127.34</v>
      </c>
      <c r="I210" s="5">
        <f>_xlfn.MAXIFS(Detalle!$F$2:$F$687,Detalle!$A$2:$A$687,$A210,Detalle!$C$2:$C$687,$B210)</f>
        <v>138.22800000000001</v>
      </c>
    </row>
    <row r="211" spans="1:9" x14ac:dyDescent="0.25">
      <c r="A211" s="3">
        <v>10</v>
      </c>
      <c r="B211" s="3" t="s">
        <v>25</v>
      </c>
      <c r="C211" s="4">
        <f>COUNTIFS(Detalle!$A$2:$A$687,$A211,Detalle!$C$2:$C$687,$B211)</f>
        <v>3</v>
      </c>
      <c r="D211" s="5">
        <f>AVERAGEIFS(Detalle!$D$2:$D$687,Detalle!$A$2:$A$687,$A211,Detalle!$C$2:$C$687,$B211)</f>
        <v>0.93800000000000006</v>
      </c>
      <c r="E211" s="5">
        <f>_xlfn.MINIFS(Detalle!$D$2:$D$687,Detalle!$A$2:$A$687,$A211,Detalle!$C$2:$C$687,$B211)</f>
        <v>0.83399999999999996</v>
      </c>
      <c r="F211" s="5">
        <f>_xlfn.MAXIFS(Detalle!$D$2:$D$687,Detalle!$A$2:$A$687,$A211,Detalle!$C$2:$C$687,$B211)</f>
        <v>0.99</v>
      </c>
      <c r="G211" s="5">
        <f>AVERAGEIFS(Detalle!$F$2:$F$687,Detalle!$A$2:$A$687,$A211,Detalle!$C$2:$C$687,$B211)</f>
        <v>140.04033333333334</v>
      </c>
      <c r="H211" s="5">
        <f>_xlfn.MINIFS(Detalle!$F$2:$F$687,Detalle!$A$2:$A$687,$A211,Detalle!$C$2:$C$687,$B211)</f>
        <v>128.959</v>
      </c>
      <c r="I211" s="5">
        <f>_xlfn.MAXIFS(Detalle!$F$2:$F$687,Detalle!$A$2:$A$687,$A211,Detalle!$C$2:$C$687,$B211)</f>
        <v>152.14500000000001</v>
      </c>
    </row>
    <row r="212" spans="1:9" x14ac:dyDescent="0.25">
      <c r="A212" s="3">
        <v>10</v>
      </c>
      <c r="B212" s="3" t="s">
        <v>31</v>
      </c>
      <c r="C212" s="4">
        <f>COUNTIFS(Detalle!$A$2:$A$687,$A212,Detalle!$C$2:$C$687,$B212)</f>
        <v>1</v>
      </c>
      <c r="D212" s="5">
        <f>AVERAGEIFS(Detalle!$D$2:$D$687,Detalle!$A$2:$A$687,$A212,Detalle!$C$2:$C$687,$B212)</f>
        <v>0.88600000000000001</v>
      </c>
      <c r="E212" s="5">
        <f>_xlfn.MINIFS(Detalle!$D$2:$D$687,Detalle!$A$2:$A$687,$A212,Detalle!$C$2:$C$687,$B212)</f>
        <v>0.88600000000000001</v>
      </c>
      <c r="F212" s="5">
        <f>_xlfn.MAXIFS(Detalle!$D$2:$D$687,Detalle!$A$2:$A$687,$A212,Detalle!$C$2:$C$687,$B212)</f>
        <v>0.88600000000000001</v>
      </c>
      <c r="G212" s="5">
        <f>AVERAGEIFS(Detalle!$F$2:$F$687,Detalle!$A$2:$A$687,$A212,Detalle!$C$2:$C$687,$B212)</f>
        <v>150.43899999999999</v>
      </c>
      <c r="H212" s="5">
        <f>_xlfn.MINIFS(Detalle!$F$2:$F$687,Detalle!$A$2:$A$687,$A212,Detalle!$C$2:$C$687,$B212)</f>
        <v>150.43899999999999</v>
      </c>
      <c r="I212" s="5">
        <f>_xlfn.MAXIFS(Detalle!$F$2:$F$687,Detalle!$A$2:$A$687,$A212,Detalle!$C$2:$C$687,$B212)</f>
        <v>150.43899999999999</v>
      </c>
    </row>
    <row r="213" spans="1:9" x14ac:dyDescent="0.25">
      <c r="A213" s="3">
        <v>10</v>
      </c>
      <c r="B213" s="3" t="s">
        <v>29</v>
      </c>
      <c r="C213" s="4">
        <f>COUNTIFS(Detalle!$A$2:$A$687,$A213,Detalle!$C$2:$C$687,$B213)</f>
        <v>2</v>
      </c>
      <c r="D213" s="5">
        <f>AVERAGEIFS(Detalle!$D$2:$D$687,Detalle!$A$2:$A$687,$A213,Detalle!$C$2:$C$687,$B213)</f>
        <v>0.86550000000000005</v>
      </c>
      <c r="E213" s="5">
        <f>_xlfn.MINIFS(Detalle!$D$2:$D$687,Detalle!$A$2:$A$687,$A213,Detalle!$C$2:$C$687,$B213)</f>
        <v>0.81100000000000005</v>
      </c>
      <c r="F213" s="5">
        <f>_xlfn.MAXIFS(Detalle!$D$2:$D$687,Detalle!$A$2:$A$687,$A213,Detalle!$C$2:$C$687,$B213)</f>
        <v>0.92</v>
      </c>
      <c r="G213" s="5">
        <f>AVERAGEIFS(Detalle!$F$2:$F$687,Detalle!$A$2:$A$687,$A213,Detalle!$C$2:$C$687,$B213)</f>
        <v>116.60499999999999</v>
      </c>
      <c r="H213" s="5">
        <f>_xlfn.MINIFS(Detalle!$F$2:$F$687,Detalle!$A$2:$A$687,$A213,Detalle!$C$2:$C$687,$B213)</f>
        <v>92.11</v>
      </c>
      <c r="I213" s="5">
        <f>_xlfn.MAXIFS(Detalle!$F$2:$F$687,Detalle!$A$2:$A$687,$A213,Detalle!$C$2:$C$687,$B213)</f>
        <v>141.1</v>
      </c>
    </row>
    <row r="214" spans="1:9" x14ac:dyDescent="0.25">
      <c r="A214" s="3">
        <v>10</v>
      </c>
      <c r="B214" s="3" t="s">
        <v>26</v>
      </c>
      <c r="C214" s="4">
        <f>COUNTIFS(Detalle!$A$2:$A$687,$A214,Detalle!$C$2:$C$687,$B214)</f>
        <v>1</v>
      </c>
      <c r="D214" s="5">
        <f>AVERAGEIFS(Detalle!$D$2:$D$687,Detalle!$A$2:$A$687,$A214,Detalle!$C$2:$C$687,$B214)</f>
        <v>0.90600000000000003</v>
      </c>
      <c r="E214" s="5">
        <f>_xlfn.MINIFS(Detalle!$D$2:$D$687,Detalle!$A$2:$A$687,$A214,Detalle!$C$2:$C$687,$B214)</f>
        <v>0.90600000000000003</v>
      </c>
      <c r="F214" s="5">
        <f>_xlfn.MAXIFS(Detalle!$D$2:$D$687,Detalle!$A$2:$A$687,$A214,Detalle!$C$2:$C$687,$B214)</f>
        <v>0.90600000000000003</v>
      </c>
      <c r="G214" s="5">
        <f>AVERAGEIFS(Detalle!$F$2:$F$687,Detalle!$A$2:$A$687,$A214,Detalle!$C$2:$C$687,$B214)</f>
        <v>127.92</v>
      </c>
      <c r="H214" s="5">
        <f>_xlfn.MINIFS(Detalle!$F$2:$F$687,Detalle!$A$2:$A$687,$A214,Detalle!$C$2:$C$687,$B214)</f>
        <v>127.92</v>
      </c>
      <c r="I214" s="5">
        <f>_xlfn.MAXIFS(Detalle!$F$2:$F$687,Detalle!$A$2:$A$687,$A214,Detalle!$C$2:$C$687,$B214)</f>
        <v>127.92</v>
      </c>
    </row>
    <row r="215" spans="1:9" x14ac:dyDescent="0.25">
      <c r="A215" s="3">
        <v>10</v>
      </c>
      <c r="B215" s="3" t="s">
        <v>30</v>
      </c>
      <c r="C215" s="4">
        <f>COUNTIFS(Detalle!$A$2:$A$687,$A215,Detalle!$C$2:$C$687,$B215)</f>
        <v>1</v>
      </c>
      <c r="D215" s="5">
        <f>AVERAGEIFS(Detalle!$D$2:$D$687,Detalle!$A$2:$A$687,$A215,Detalle!$C$2:$C$687,$B215)</f>
        <v>0.90700000000000003</v>
      </c>
      <c r="E215" s="5">
        <f>_xlfn.MINIFS(Detalle!$D$2:$D$687,Detalle!$A$2:$A$687,$A215,Detalle!$C$2:$C$687,$B215)</f>
        <v>0.90700000000000003</v>
      </c>
      <c r="F215" s="5">
        <f>_xlfn.MAXIFS(Detalle!$D$2:$D$687,Detalle!$A$2:$A$687,$A215,Detalle!$C$2:$C$687,$B215)</f>
        <v>0.90700000000000003</v>
      </c>
      <c r="G215" s="5">
        <f>AVERAGEIFS(Detalle!$F$2:$F$687,Detalle!$A$2:$A$687,$A215,Detalle!$C$2:$C$687,$B215)</f>
        <v>133.88200000000001</v>
      </c>
      <c r="H215" s="5">
        <f>_xlfn.MINIFS(Detalle!$F$2:$F$687,Detalle!$A$2:$A$687,$A215,Detalle!$C$2:$C$687,$B215)</f>
        <v>133.88200000000001</v>
      </c>
      <c r="I215" s="5">
        <f>_xlfn.MAXIFS(Detalle!$F$2:$F$687,Detalle!$A$2:$A$687,$A215,Detalle!$C$2:$C$687,$B215)</f>
        <v>133.88200000000001</v>
      </c>
    </row>
    <row r="216" spans="1:9" x14ac:dyDescent="0.25">
      <c r="A216" s="3">
        <v>10</v>
      </c>
      <c r="B216" s="3" t="s">
        <v>27</v>
      </c>
      <c r="C216" s="4">
        <f>COUNTIFS(Detalle!$A$2:$A$687,$A216,Detalle!$C$2:$C$687,$B216)</f>
        <v>2</v>
      </c>
      <c r="D216" s="5">
        <f>AVERAGEIFS(Detalle!$D$2:$D$687,Detalle!$A$2:$A$687,$A216,Detalle!$C$2:$C$687,$B216)</f>
        <v>0.86</v>
      </c>
      <c r="E216" s="5">
        <f>_xlfn.MINIFS(Detalle!$D$2:$D$687,Detalle!$A$2:$A$687,$A216,Detalle!$C$2:$C$687,$B216)</f>
        <v>0.84</v>
      </c>
      <c r="F216" s="5">
        <f>_xlfn.MAXIFS(Detalle!$D$2:$D$687,Detalle!$A$2:$A$687,$A216,Detalle!$C$2:$C$687,$B216)</f>
        <v>0.88</v>
      </c>
      <c r="G216" s="5">
        <f>AVERAGEIFS(Detalle!$F$2:$F$687,Detalle!$A$2:$A$687,$A216,Detalle!$C$2:$C$687,$B216)</f>
        <v>155.26100000000002</v>
      </c>
      <c r="H216" s="5">
        <f>_xlfn.MINIFS(Detalle!$F$2:$F$687,Detalle!$A$2:$A$687,$A216,Detalle!$C$2:$C$687,$B216)</f>
        <v>136.74700000000001</v>
      </c>
      <c r="I216" s="5">
        <f>_xlfn.MAXIFS(Detalle!$F$2:$F$687,Detalle!$A$2:$A$687,$A216,Detalle!$C$2:$C$687,$B216)</f>
        <v>173.77500000000001</v>
      </c>
    </row>
    <row r="217" spans="1:9" x14ac:dyDescent="0.25">
      <c r="A217" s="3">
        <v>10</v>
      </c>
      <c r="B217" s="3" t="s">
        <v>32</v>
      </c>
      <c r="C217" s="4">
        <f>COUNTIFS(Detalle!$A$2:$A$687,$A217,Detalle!$C$2:$C$687,$B217)</f>
        <v>1</v>
      </c>
      <c r="D217" s="5">
        <f>AVERAGEIFS(Detalle!$D$2:$D$687,Detalle!$A$2:$A$687,$A217,Detalle!$C$2:$C$687,$B217)</f>
        <v>0.79900000000000004</v>
      </c>
      <c r="E217" s="5">
        <f>_xlfn.MINIFS(Detalle!$D$2:$D$687,Detalle!$A$2:$A$687,$A217,Detalle!$C$2:$C$687,$B217)</f>
        <v>0.79900000000000004</v>
      </c>
      <c r="F217" s="5">
        <f>_xlfn.MAXIFS(Detalle!$D$2:$D$687,Detalle!$A$2:$A$687,$A217,Detalle!$C$2:$C$687,$B217)</f>
        <v>0.79900000000000004</v>
      </c>
      <c r="G217" s="5">
        <f>AVERAGEIFS(Detalle!$F$2:$F$687,Detalle!$A$2:$A$687,$A217,Detalle!$C$2:$C$687,$B217)</f>
        <v>121.851</v>
      </c>
      <c r="H217" s="5">
        <f>_xlfn.MINIFS(Detalle!$F$2:$F$687,Detalle!$A$2:$A$687,$A217,Detalle!$C$2:$C$687,$B217)</f>
        <v>121.851</v>
      </c>
      <c r="I217" s="5">
        <f>_xlfn.MAXIFS(Detalle!$F$2:$F$687,Detalle!$A$2:$A$687,$A217,Detalle!$C$2:$C$687,$B217)</f>
        <v>121.851</v>
      </c>
    </row>
    <row r="218" spans="1:9" x14ac:dyDescent="0.25">
      <c r="A218" s="3">
        <v>10</v>
      </c>
      <c r="B218" s="3" t="s">
        <v>24</v>
      </c>
      <c r="C218" s="4">
        <f>COUNTIFS(Detalle!$A$2:$A$687,$A218,Detalle!$C$2:$C$687,$B218)</f>
        <v>2</v>
      </c>
      <c r="D218" s="5">
        <f>AVERAGEIFS(Detalle!$D$2:$D$687,Detalle!$A$2:$A$687,$A218,Detalle!$C$2:$C$687,$B218)</f>
        <v>0.9</v>
      </c>
      <c r="E218" s="5">
        <f>_xlfn.MINIFS(Detalle!$D$2:$D$687,Detalle!$A$2:$A$687,$A218,Detalle!$C$2:$C$687,$B218)</f>
        <v>0.876</v>
      </c>
      <c r="F218" s="5">
        <f>_xlfn.MAXIFS(Detalle!$D$2:$D$687,Detalle!$A$2:$A$687,$A218,Detalle!$C$2:$C$687,$B218)</f>
        <v>0.92400000000000004</v>
      </c>
      <c r="G218" s="5">
        <f>AVERAGEIFS(Detalle!$F$2:$F$687,Detalle!$A$2:$A$687,$A218,Detalle!$C$2:$C$687,$B218)</f>
        <v>111.63800000000001</v>
      </c>
      <c r="H218" s="5">
        <f>_xlfn.MINIFS(Detalle!$F$2:$F$687,Detalle!$A$2:$A$687,$A218,Detalle!$C$2:$C$687,$B218)</f>
        <v>96.430999999999997</v>
      </c>
      <c r="I218" s="5">
        <f>_xlfn.MAXIFS(Detalle!$F$2:$F$687,Detalle!$A$2:$A$687,$A218,Detalle!$C$2:$C$687,$B218)</f>
        <v>126.845</v>
      </c>
    </row>
    <row r="219" spans="1:9" x14ac:dyDescent="0.25">
      <c r="A219" s="3">
        <v>10</v>
      </c>
      <c r="B219" s="3" t="s">
        <v>39</v>
      </c>
      <c r="C219" s="4">
        <f>COUNTIFS(Detalle!$A$2:$A$687,$A219,Detalle!$C$2:$C$687,$B219)</f>
        <v>1</v>
      </c>
      <c r="D219" s="5">
        <f>AVERAGEIFS(Detalle!$D$2:$D$687,Detalle!$A$2:$A$687,$A219,Detalle!$C$2:$C$687,$B219)</f>
        <v>0.95899999999999996</v>
      </c>
      <c r="E219" s="5">
        <f>_xlfn.MINIFS(Detalle!$D$2:$D$687,Detalle!$A$2:$A$687,$A219,Detalle!$C$2:$C$687,$B219)</f>
        <v>0.95899999999999996</v>
      </c>
      <c r="F219" s="5">
        <f>_xlfn.MAXIFS(Detalle!$D$2:$D$687,Detalle!$A$2:$A$687,$A219,Detalle!$C$2:$C$687,$B219)</f>
        <v>0.95899999999999996</v>
      </c>
      <c r="G219" s="5">
        <f>AVERAGEIFS(Detalle!$F$2:$F$687,Detalle!$A$2:$A$687,$A219,Detalle!$C$2:$C$687,$B219)</f>
        <v>103.593</v>
      </c>
      <c r="H219" s="5">
        <f>_xlfn.MINIFS(Detalle!$F$2:$F$687,Detalle!$A$2:$A$687,$A219,Detalle!$C$2:$C$687,$B219)</f>
        <v>103.593</v>
      </c>
      <c r="I219" s="5">
        <f>_xlfn.MAXIFS(Detalle!$F$2:$F$687,Detalle!$A$2:$A$687,$A219,Detalle!$C$2:$C$687,$B219)</f>
        <v>103.593</v>
      </c>
    </row>
    <row r="220" spans="1:9" x14ac:dyDescent="0.25">
      <c r="A220" s="3">
        <v>10</v>
      </c>
      <c r="B220" s="3" t="s">
        <v>19</v>
      </c>
      <c r="C220" s="4">
        <f>COUNTIFS(Detalle!$A$2:$A$687,$A220,Detalle!$C$2:$C$687,$B220)</f>
        <v>1</v>
      </c>
      <c r="D220" s="5">
        <f>AVERAGEIFS(Detalle!$D$2:$D$687,Detalle!$A$2:$A$687,$A220,Detalle!$C$2:$C$687,$B220)</f>
        <v>0.85</v>
      </c>
      <c r="E220" s="5">
        <f>_xlfn.MINIFS(Detalle!$D$2:$D$687,Detalle!$A$2:$A$687,$A220,Detalle!$C$2:$C$687,$B220)</f>
        <v>0.85</v>
      </c>
      <c r="F220" s="5">
        <f>_xlfn.MAXIFS(Detalle!$D$2:$D$687,Detalle!$A$2:$A$687,$A220,Detalle!$C$2:$C$687,$B220)</f>
        <v>0.85</v>
      </c>
      <c r="G220" s="5">
        <f>AVERAGEIFS(Detalle!$F$2:$F$687,Detalle!$A$2:$A$687,$A220,Detalle!$C$2:$C$687,$B220)</f>
        <v>100.321</v>
      </c>
      <c r="H220" s="5">
        <f>_xlfn.MINIFS(Detalle!$F$2:$F$687,Detalle!$A$2:$A$687,$A220,Detalle!$C$2:$C$687,$B220)</f>
        <v>100.321</v>
      </c>
      <c r="I220" s="5">
        <f>_xlfn.MAXIFS(Detalle!$F$2:$F$687,Detalle!$A$2:$A$687,$A220,Detalle!$C$2:$C$687,$B220)</f>
        <v>100.321</v>
      </c>
    </row>
    <row r="221" spans="1:9" x14ac:dyDescent="0.25">
      <c r="A221" s="3">
        <v>10</v>
      </c>
      <c r="B221" s="3" t="s">
        <v>11</v>
      </c>
      <c r="C221" s="4">
        <f>COUNTIFS(Detalle!$A$2:$A$687,$A221,Detalle!$C$2:$C$687,$B221)</f>
        <v>1</v>
      </c>
      <c r="D221" s="5">
        <f>AVERAGEIFS(Detalle!$D$2:$D$687,Detalle!$A$2:$A$687,$A221,Detalle!$C$2:$C$687,$B221)</f>
        <v>0.97299999999999998</v>
      </c>
      <c r="E221" s="5">
        <f>_xlfn.MINIFS(Detalle!$D$2:$D$687,Detalle!$A$2:$A$687,$A221,Detalle!$C$2:$C$687,$B221)</f>
        <v>0.97299999999999998</v>
      </c>
      <c r="F221" s="5">
        <f>_xlfn.MAXIFS(Detalle!$D$2:$D$687,Detalle!$A$2:$A$687,$A221,Detalle!$C$2:$C$687,$B221)</f>
        <v>0.97299999999999998</v>
      </c>
      <c r="G221" s="5">
        <f>AVERAGEIFS(Detalle!$F$2:$F$687,Detalle!$A$2:$A$687,$A221,Detalle!$C$2:$C$687,$B221)</f>
        <v>157.274</v>
      </c>
      <c r="H221" s="5">
        <f>_xlfn.MINIFS(Detalle!$F$2:$F$687,Detalle!$A$2:$A$687,$A221,Detalle!$C$2:$C$687,$B221)</f>
        <v>157.274</v>
      </c>
      <c r="I221" s="5">
        <f>_xlfn.MAXIFS(Detalle!$F$2:$F$687,Detalle!$A$2:$A$687,$A221,Detalle!$C$2:$C$687,$B221)</f>
        <v>157.274</v>
      </c>
    </row>
    <row r="222" spans="1:9" x14ac:dyDescent="0.25">
      <c r="A222" s="3">
        <v>10</v>
      </c>
      <c r="B222" s="3" t="s">
        <v>36</v>
      </c>
      <c r="C222" s="4">
        <f>COUNTIFS(Detalle!$A$2:$A$687,$A222,Detalle!$C$2:$C$687,$B222)</f>
        <v>2</v>
      </c>
      <c r="D222" s="5">
        <f>AVERAGEIFS(Detalle!$D$2:$D$687,Detalle!$A$2:$A$687,$A222,Detalle!$C$2:$C$687,$B222)</f>
        <v>0.91849999999999998</v>
      </c>
      <c r="E222" s="5">
        <f>_xlfn.MINIFS(Detalle!$D$2:$D$687,Detalle!$A$2:$A$687,$A222,Detalle!$C$2:$C$687,$B222)</f>
        <v>0.89700000000000002</v>
      </c>
      <c r="F222" s="5">
        <f>_xlfn.MAXIFS(Detalle!$D$2:$D$687,Detalle!$A$2:$A$687,$A222,Detalle!$C$2:$C$687,$B222)</f>
        <v>0.94</v>
      </c>
      <c r="G222" s="5">
        <f>AVERAGEIFS(Detalle!$F$2:$F$687,Detalle!$A$2:$A$687,$A222,Detalle!$C$2:$C$687,$B222)</f>
        <v>147.47999999999999</v>
      </c>
      <c r="H222" s="5">
        <f>_xlfn.MINIFS(Detalle!$F$2:$F$687,Detalle!$A$2:$A$687,$A222,Detalle!$C$2:$C$687,$B222)</f>
        <v>114.40900000000001</v>
      </c>
      <c r="I222" s="5">
        <f>_xlfn.MAXIFS(Detalle!$F$2:$F$687,Detalle!$A$2:$A$687,$A222,Detalle!$C$2:$C$687,$B222)</f>
        <v>180.55099999999999</v>
      </c>
    </row>
    <row r="223" spans="1:9" x14ac:dyDescent="0.25">
      <c r="A223" s="3">
        <v>10</v>
      </c>
      <c r="B223" s="3" t="s">
        <v>15</v>
      </c>
      <c r="C223" s="4">
        <f>COUNTIFS(Detalle!$A$2:$A$687,$A223,Detalle!$C$2:$C$687,$B223)</f>
        <v>1</v>
      </c>
      <c r="D223" s="5">
        <f>AVERAGEIFS(Detalle!$D$2:$D$687,Detalle!$A$2:$A$687,$A223,Detalle!$C$2:$C$687,$B223)</f>
        <v>0.95199999999999996</v>
      </c>
      <c r="E223" s="5">
        <f>_xlfn.MINIFS(Detalle!$D$2:$D$687,Detalle!$A$2:$A$687,$A223,Detalle!$C$2:$C$687,$B223)</f>
        <v>0.95199999999999996</v>
      </c>
      <c r="F223" s="5">
        <f>_xlfn.MAXIFS(Detalle!$D$2:$D$687,Detalle!$A$2:$A$687,$A223,Detalle!$C$2:$C$687,$B223)</f>
        <v>0.95199999999999996</v>
      </c>
      <c r="G223" s="5">
        <f>AVERAGEIFS(Detalle!$F$2:$F$687,Detalle!$A$2:$A$687,$A223,Detalle!$C$2:$C$687,$B223)</f>
        <v>136.72</v>
      </c>
      <c r="H223" s="5">
        <f>_xlfn.MINIFS(Detalle!$F$2:$F$687,Detalle!$A$2:$A$687,$A223,Detalle!$C$2:$C$687,$B223)</f>
        <v>136.72</v>
      </c>
      <c r="I223" s="5">
        <f>_xlfn.MAXIFS(Detalle!$F$2:$F$687,Detalle!$A$2:$A$687,$A223,Detalle!$C$2:$C$687,$B223)</f>
        <v>136.72</v>
      </c>
    </row>
    <row r="224" spans="1:9" x14ac:dyDescent="0.25">
      <c r="A224" s="3">
        <v>10</v>
      </c>
      <c r="B224" s="3" t="s">
        <v>18</v>
      </c>
      <c r="C224" s="4">
        <f>COUNTIFS(Detalle!$A$2:$A$687,$A224,Detalle!$C$2:$C$687,$B224)</f>
        <v>3</v>
      </c>
      <c r="D224" s="5">
        <f>AVERAGEIFS(Detalle!$D$2:$D$687,Detalle!$A$2:$A$687,$A224,Detalle!$C$2:$C$687,$B224)</f>
        <v>0.88766666666666671</v>
      </c>
      <c r="E224" s="5">
        <f>_xlfn.MINIFS(Detalle!$D$2:$D$687,Detalle!$A$2:$A$687,$A224,Detalle!$C$2:$C$687,$B224)</f>
        <v>0.80300000000000005</v>
      </c>
      <c r="F224" s="5">
        <f>_xlfn.MAXIFS(Detalle!$D$2:$D$687,Detalle!$A$2:$A$687,$A224,Detalle!$C$2:$C$687,$B224)</f>
        <v>0.97099999999999997</v>
      </c>
      <c r="G224" s="5">
        <f>AVERAGEIFS(Detalle!$F$2:$F$687,Detalle!$A$2:$A$687,$A224,Detalle!$C$2:$C$687,$B224)</f>
        <v>123.83300000000001</v>
      </c>
      <c r="H224" s="5">
        <f>_xlfn.MINIFS(Detalle!$F$2:$F$687,Detalle!$A$2:$A$687,$A224,Detalle!$C$2:$C$687,$B224)</f>
        <v>111.804</v>
      </c>
      <c r="I224" s="5">
        <f>_xlfn.MAXIFS(Detalle!$F$2:$F$687,Detalle!$A$2:$A$687,$A224,Detalle!$C$2:$C$687,$B224)</f>
        <v>144.21799999999999</v>
      </c>
    </row>
    <row r="225" spans="1:9" x14ac:dyDescent="0.25">
      <c r="A225" s="3">
        <v>10</v>
      </c>
      <c r="B225" s="3" t="s">
        <v>35</v>
      </c>
      <c r="C225" s="4">
        <f>COUNTIFS(Detalle!$A$2:$A$687,$A225,Detalle!$C$2:$C$687,$B225)</f>
        <v>3</v>
      </c>
      <c r="D225" s="5">
        <f>AVERAGEIFS(Detalle!$D$2:$D$687,Detalle!$A$2:$A$687,$A225,Detalle!$C$2:$C$687,$B225)</f>
        <v>0.879</v>
      </c>
      <c r="E225" s="5">
        <f>_xlfn.MINIFS(Detalle!$D$2:$D$687,Detalle!$A$2:$A$687,$A225,Detalle!$C$2:$C$687,$B225)</f>
        <v>0.82199999999999995</v>
      </c>
      <c r="F225" s="5">
        <f>_xlfn.MAXIFS(Detalle!$D$2:$D$687,Detalle!$A$2:$A$687,$A225,Detalle!$C$2:$C$687,$B225)</f>
        <v>0.95199999999999996</v>
      </c>
      <c r="G225" s="5">
        <f>AVERAGEIFS(Detalle!$F$2:$F$687,Detalle!$A$2:$A$687,$A225,Detalle!$C$2:$C$687,$B225)</f>
        <v>117.76833333333333</v>
      </c>
      <c r="H225" s="5">
        <f>_xlfn.MINIFS(Detalle!$F$2:$F$687,Detalle!$A$2:$A$687,$A225,Detalle!$C$2:$C$687,$B225)</f>
        <v>103.16800000000001</v>
      </c>
      <c r="I225" s="5">
        <f>_xlfn.MAXIFS(Detalle!$F$2:$F$687,Detalle!$A$2:$A$687,$A225,Detalle!$C$2:$C$687,$B225)</f>
        <v>133.173</v>
      </c>
    </row>
    <row r="226" spans="1:9" x14ac:dyDescent="0.25">
      <c r="A226" s="3">
        <v>10</v>
      </c>
      <c r="B226" s="3" t="s">
        <v>34</v>
      </c>
      <c r="C226" s="4">
        <f>COUNTIFS(Detalle!$A$2:$A$687,$A226,Detalle!$C$2:$C$687,$B226)</f>
        <v>1</v>
      </c>
      <c r="D226" s="5">
        <f>AVERAGEIFS(Detalle!$D$2:$D$687,Detalle!$A$2:$A$687,$A226,Detalle!$C$2:$C$687,$B226)</f>
        <v>0.98599999999999999</v>
      </c>
      <c r="E226" s="5">
        <f>_xlfn.MINIFS(Detalle!$D$2:$D$687,Detalle!$A$2:$A$687,$A226,Detalle!$C$2:$C$687,$B226)</f>
        <v>0.98599999999999999</v>
      </c>
      <c r="F226" s="5">
        <f>_xlfn.MAXIFS(Detalle!$D$2:$D$687,Detalle!$A$2:$A$687,$A226,Detalle!$C$2:$C$687,$B226)</f>
        <v>0.98599999999999999</v>
      </c>
      <c r="G226" s="5">
        <f>AVERAGEIFS(Detalle!$F$2:$F$687,Detalle!$A$2:$A$687,$A226,Detalle!$C$2:$C$687,$B226)</f>
        <v>131.88200000000001</v>
      </c>
      <c r="H226" s="5">
        <f>_xlfn.MINIFS(Detalle!$F$2:$F$687,Detalle!$A$2:$A$687,$A226,Detalle!$C$2:$C$687,$B226)</f>
        <v>131.88200000000001</v>
      </c>
      <c r="I226" s="5">
        <f>_xlfn.MAXIFS(Detalle!$F$2:$F$687,Detalle!$A$2:$A$687,$A226,Detalle!$C$2:$C$687,$B226)</f>
        <v>131.88200000000001</v>
      </c>
    </row>
    <row r="227" spans="1:9" x14ac:dyDescent="0.25">
      <c r="A227" s="3">
        <v>10</v>
      </c>
      <c r="B227" s="3" t="s">
        <v>16</v>
      </c>
      <c r="C227" s="4">
        <f>COUNTIFS(Detalle!$A$2:$A$687,$A227,Detalle!$C$2:$C$687,$B227)</f>
        <v>1</v>
      </c>
      <c r="D227" s="5">
        <f>AVERAGEIFS(Detalle!$D$2:$D$687,Detalle!$A$2:$A$687,$A227,Detalle!$C$2:$C$687,$B227)</f>
        <v>0.90300000000000002</v>
      </c>
      <c r="E227" s="5">
        <f>_xlfn.MINIFS(Detalle!$D$2:$D$687,Detalle!$A$2:$A$687,$A227,Detalle!$C$2:$C$687,$B227)</f>
        <v>0.90300000000000002</v>
      </c>
      <c r="F227" s="5">
        <f>_xlfn.MAXIFS(Detalle!$D$2:$D$687,Detalle!$A$2:$A$687,$A227,Detalle!$C$2:$C$687,$B227)</f>
        <v>0.90300000000000002</v>
      </c>
      <c r="G227" s="5">
        <f>AVERAGEIFS(Detalle!$F$2:$F$687,Detalle!$A$2:$A$687,$A227,Detalle!$C$2:$C$687,$B227)</f>
        <v>131.95699999999999</v>
      </c>
      <c r="H227" s="5">
        <f>_xlfn.MINIFS(Detalle!$F$2:$F$687,Detalle!$A$2:$A$687,$A227,Detalle!$C$2:$C$687,$B227)</f>
        <v>131.95699999999999</v>
      </c>
      <c r="I227" s="5">
        <f>_xlfn.MAXIFS(Detalle!$F$2:$F$687,Detalle!$A$2:$A$687,$A227,Detalle!$C$2:$C$687,$B227)</f>
        <v>131.95699999999999</v>
      </c>
    </row>
    <row r="228" spans="1:9" x14ac:dyDescent="0.25">
      <c r="A228" s="3">
        <v>10</v>
      </c>
      <c r="B228" s="3" t="s">
        <v>28</v>
      </c>
      <c r="C228" s="4">
        <f>COUNTIFS(Detalle!$A$2:$A$687,$A228,Detalle!$C$2:$C$687,$B228)</f>
        <v>1</v>
      </c>
      <c r="D228" s="5">
        <f>AVERAGEIFS(Detalle!$D$2:$D$687,Detalle!$A$2:$A$687,$A228,Detalle!$C$2:$C$687,$B228)</f>
        <v>0.94499999999999995</v>
      </c>
      <c r="E228" s="5">
        <f>_xlfn.MINIFS(Detalle!$D$2:$D$687,Detalle!$A$2:$A$687,$A228,Detalle!$C$2:$C$687,$B228)</f>
        <v>0.94499999999999995</v>
      </c>
      <c r="F228" s="5">
        <f>_xlfn.MAXIFS(Detalle!$D$2:$D$687,Detalle!$A$2:$A$687,$A228,Detalle!$C$2:$C$687,$B228)</f>
        <v>0.94499999999999995</v>
      </c>
      <c r="G228" s="5">
        <f>AVERAGEIFS(Detalle!$F$2:$F$687,Detalle!$A$2:$A$687,$A228,Detalle!$C$2:$C$687,$B228)</f>
        <v>123.40900000000001</v>
      </c>
      <c r="H228" s="5">
        <f>_xlfn.MINIFS(Detalle!$F$2:$F$687,Detalle!$A$2:$A$687,$A228,Detalle!$C$2:$C$687,$B228)</f>
        <v>123.40900000000001</v>
      </c>
      <c r="I228" s="5">
        <f>_xlfn.MAXIFS(Detalle!$F$2:$F$687,Detalle!$A$2:$A$687,$A228,Detalle!$C$2:$C$687,$B228)</f>
        <v>123.40900000000001</v>
      </c>
    </row>
    <row r="229" spans="1:9" x14ac:dyDescent="0.25">
      <c r="A229" s="3">
        <v>10</v>
      </c>
      <c r="B229" s="3" t="s">
        <v>37</v>
      </c>
      <c r="C229" s="4">
        <f>COUNTIFS(Detalle!$A$2:$A$687,$A229,Detalle!$C$2:$C$687,$B229)</f>
        <v>2</v>
      </c>
      <c r="D229" s="5">
        <f>AVERAGEIFS(Detalle!$D$2:$D$687,Detalle!$A$2:$A$687,$A229,Detalle!$C$2:$C$687,$B229)</f>
        <v>0.90149999999999997</v>
      </c>
      <c r="E229" s="5">
        <f>_xlfn.MINIFS(Detalle!$D$2:$D$687,Detalle!$A$2:$A$687,$A229,Detalle!$C$2:$C$687,$B229)</f>
        <v>0.81299999999999994</v>
      </c>
      <c r="F229" s="5">
        <f>_xlfn.MAXIFS(Detalle!$D$2:$D$687,Detalle!$A$2:$A$687,$A229,Detalle!$C$2:$C$687,$B229)</f>
        <v>0.99</v>
      </c>
      <c r="G229" s="5">
        <f>AVERAGEIFS(Detalle!$F$2:$F$687,Detalle!$A$2:$A$687,$A229,Detalle!$C$2:$C$687,$B229)</f>
        <v>113.32</v>
      </c>
      <c r="H229" s="5">
        <f>_xlfn.MINIFS(Detalle!$F$2:$F$687,Detalle!$A$2:$A$687,$A229,Detalle!$C$2:$C$687,$B229)</f>
        <v>110.411</v>
      </c>
      <c r="I229" s="5">
        <f>_xlfn.MAXIFS(Detalle!$F$2:$F$687,Detalle!$A$2:$A$687,$A229,Detalle!$C$2:$C$687,$B229)</f>
        <v>116.229</v>
      </c>
    </row>
    <row r="230" spans="1:9" x14ac:dyDescent="0.25">
      <c r="A230" s="3">
        <v>10</v>
      </c>
      <c r="B230" s="3" t="s">
        <v>21</v>
      </c>
      <c r="C230" s="4">
        <f>COUNTIFS(Detalle!$A$2:$A$687,$A230,Detalle!$C$2:$C$687,$B230)</f>
        <v>2</v>
      </c>
      <c r="D230" s="5">
        <f>AVERAGEIFS(Detalle!$D$2:$D$687,Detalle!$A$2:$A$687,$A230,Detalle!$C$2:$C$687,$B230)</f>
        <v>0.92549999999999999</v>
      </c>
      <c r="E230" s="5">
        <f>_xlfn.MINIFS(Detalle!$D$2:$D$687,Detalle!$A$2:$A$687,$A230,Detalle!$C$2:$C$687,$B230)</f>
        <v>0.89300000000000002</v>
      </c>
      <c r="F230" s="5">
        <f>_xlfn.MAXIFS(Detalle!$D$2:$D$687,Detalle!$A$2:$A$687,$A230,Detalle!$C$2:$C$687,$B230)</f>
        <v>0.95799999999999996</v>
      </c>
      <c r="G230" s="5">
        <f>AVERAGEIFS(Detalle!$F$2:$F$687,Detalle!$A$2:$A$687,$A230,Detalle!$C$2:$C$687,$B230)</f>
        <v>121.51600000000001</v>
      </c>
      <c r="H230" s="5">
        <f>_xlfn.MINIFS(Detalle!$F$2:$F$687,Detalle!$A$2:$A$687,$A230,Detalle!$C$2:$C$687,$B230)</f>
        <v>102.422</v>
      </c>
      <c r="I230" s="5">
        <f>_xlfn.MAXIFS(Detalle!$F$2:$F$687,Detalle!$A$2:$A$687,$A230,Detalle!$C$2:$C$687,$B230)</f>
        <v>140.61000000000001</v>
      </c>
    </row>
    <row r="231" spans="1:9" x14ac:dyDescent="0.25">
      <c r="A231" s="3">
        <v>10</v>
      </c>
      <c r="B231" s="3" t="s">
        <v>20</v>
      </c>
      <c r="C231" s="4">
        <f>COUNTIFS(Detalle!$A$2:$A$687,$A231,Detalle!$C$2:$C$687,$B231)</f>
        <v>1</v>
      </c>
      <c r="D231" s="5">
        <f>AVERAGEIFS(Detalle!$D$2:$D$687,Detalle!$A$2:$A$687,$A231,Detalle!$C$2:$C$687,$B231)</f>
        <v>0.84599999999999997</v>
      </c>
      <c r="E231" s="5">
        <f>_xlfn.MINIFS(Detalle!$D$2:$D$687,Detalle!$A$2:$A$687,$A231,Detalle!$C$2:$C$687,$B231)</f>
        <v>0.84599999999999997</v>
      </c>
      <c r="F231" s="5">
        <f>_xlfn.MAXIFS(Detalle!$D$2:$D$687,Detalle!$A$2:$A$687,$A231,Detalle!$C$2:$C$687,$B231)</f>
        <v>0.84599999999999997</v>
      </c>
      <c r="G231" s="5">
        <f>AVERAGEIFS(Detalle!$F$2:$F$687,Detalle!$A$2:$A$687,$A231,Detalle!$C$2:$C$687,$B231)</f>
        <v>141.57900000000001</v>
      </c>
      <c r="H231" s="5">
        <f>_xlfn.MINIFS(Detalle!$F$2:$F$687,Detalle!$A$2:$A$687,$A231,Detalle!$C$2:$C$687,$B231)</f>
        <v>141.57900000000001</v>
      </c>
      <c r="I231" s="5">
        <f>_xlfn.MAXIFS(Detalle!$F$2:$F$687,Detalle!$A$2:$A$687,$A231,Detalle!$C$2:$C$687,$B231)</f>
        <v>141.57900000000001</v>
      </c>
    </row>
    <row r="232" spans="1:9" x14ac:dyDescent="0.25">
      <c r="A232" s="3">
        <v>11</v>
      </c>
      <c r="B232" s="3" t="s">
        <v>23</v>
      </c>
      <c r="C232" s="4">
        <f>COUNTIFS(Detalle!$A$2:$A$687,$A232,Detalle!$C$2:$C$687,$B232)</f>
        <v>1</v>
      </c>
      <c r="D232" s="5">
        <f>AVERAGEIFS(Detalle!$D$2:$D$687,Detalle!$A$2:$A$687,$A232,Detalle!$C$2:$C$687,$B232)</f>
        <v>0.92600000000000005</v>
      </c>
      <c r="E232" s="5">
        <f>_xlfn.MINIFS(Detalle!$D$2:$D$687,Detalle!$A$2:$A$687,$A232,Detalle!$C$2:$C$687,$B232)</f>
        <v>0.92600000000000005</v>
      </c>
      <c r="F232" s="5">
        <f>_xlfn.MAXIFS(Detalle!$D$2:$D$687,Detalle!$A$2:$A$687,$A232,Detalle!$C$2:$C$687,$B232)</f>
        <v>0.92600000000000005</v>
      </c>
      <c r="G232" s="5">
        <f>AVERAGEIFS(Detalle!$F$2:$F$687,Detalle!$A$2:$A$687,$A232,Detalle!$C$2:$C$687,$B232)</f>
        <v>109.361</v>
      </c>
      <c r="H232" s="5">
        <f>_xlfn.MINIFS(Detalle!$F$2:$F$687,Detalle!$A$2:$A$687,$A232,Detalle!$C$2:$C$687,$B232)</f>
        <v>109.361</v>
      </c>
      <c r="I232" s="5">
        <f>_xlfn.MAXIFS(Detalle!$F$2:$F$687,Detalle!$A$2:$A$687,$A232,Detalle!$C$2:$C$687,$B232)</f>
        <v>109.361</v>
      </c>
    </row>
    <row r="233" spans="1:9" x14ac:dyDescent="0.25">
      <c r="A233" s="3">
        <v>11</v>
      </c>
      <c r="B233" s="3" t="s">
        <v>25</v>
      </c>
      <c r="C233" s="4">
        <f>COUNTIFS(Detalle!$A$2:$A$687,$A233,Detalle!$C$2:$C$687,$B233)</f>
        <v>3</v>
      </c>
      <c r="D233" s="5">
        <f>AVERAGEIFS(Detalle!$D$2:$D$687,Detalle!$A$2:$A$687,$A233,Detalle!$C$2:$C$687,$B233)</f>
        <v>0.86466666666666681</v>
      </c>
      <c r="E233" s="5">
        <f>_xlfn.MINIFS(Detalle!$D$2:$D$687,Detalle!$A$2:$A$687,$A233,Detalle!$C$2:$C$687,$B233)</f>
        <v>0.83399999999999996</v>
      </c>
      <c r="F233" s="5">
        <f>_xlfn.MAXIFS(Detalle!$D$2:$D$687,Detalle!$A$2:$A$687,$A233,Detalle!$C$2:$C$687,$B233)</f>
        <v>0.88700000000000001</v>
      </c>
      <c r="G233" s="5">
        <f>AVERAGEIFS(Detalle!$F$2:$F$687,Detalle!$A$2:$A$687,$A233,Detalle!$C$2:$C$687,$B233)</f>
        <v>111.89299999999999</v>
      </c>
      <c r="H233" s="5">
        <f>_xlfn.MINIFS(Detalle!$F$2:$F$687,Detalle!$A$2:$A$687,$A233,Detalle!$C$2:$C$687,$B233)</f>
        <v>104.247</v>
      </c>
      <c r="I233" s="5">
        <f>_xlfn.MAXIFS(Detalle!$F$2:$F$687,Detalle!$A$2:$A$687,$A233,Detalle!$C$2:$C$687,$B233)</f>
        <v>119.867</v>
      </c>
    </row>
    <row r="234" spans="1:9" x14ac:dyDescent="0.25">
      <c r="A234" s="3">
        <v>11</v>
      </c>
      <c r="B234" s="3" t="s">
        <v>29</v>
      </c>
      <c r="C234" s="4">
        <f>COUNTIFS(Detalle!$A$2:$A$687,$A234,Detalle!$C$2:$C$687,$B234)</f>
        <v>2</v>
      </c>
      <c r="D234" s="5">
        <f>AVERAGEIFS(Detalle!$D$2:$D$687,Detalle!$A$2:$A$687,$A234,Detalle!$C$2:$C$687,$B234)</f>
        <v>0.85000000000000009</v>
      </c>
      <c r="E234" s="5">
        <f>_xlfn.MINIFS(Detalle!$D$2:$D$687,Detalle!$A$2:$A$687,$A234,Detalle!$C$2:$C$687,$B234)</f>
        <v>0.79</v>
      </c>
      <c r="F234" s="5">
        <f>_xlfn.MAXIFS(Detalle!$D$2:$D$687,Detalle!$A$2:$A$687,$A234,Detalle!$C$2:$C$687,$B234)</f>
        <v>0.91</v>
      </c>
      <c r="G234" s="5">
        <f>AVERAGEIFS(Detalle!$F$2:$F$687,Detalle!$A$2:$A$687,$A234,Detalle!$C$2:$C$687,$B234)</f>
        <v>132.80950000000001</v>
      </c>
      <c r="H234" s="5">
        <f>_xlfn.MINIFS(Detalle!$F$2:$F$687,Detalle!$A$2:$A$687,$A234,Detalle!$C$2:$C$687,$B234)</f>
        <v>126.41500000000001</v>
      </c>
      <c r="I234" s="5">
        <f>_xlfn.MAXIFS(Detalle!$F$2:$F$687,Detalle!$A$2:$A$687,$A234,Detalle!$C$2:$C$687,$B234)</f>
        <v>139.20400000000001</v>
      </c>
    </row>
    <row r="235" spans="1:9" x14ac:dyDescent="0.25">
      <c r="A235" s="3">
        <v>11</v>
      </c>
      <c r="B235" s="3" t="s">
        <v>22</v>
      </c>
      <c r="C235" s="4">
        <f>COUNTIFS(Detalle!$A$2:$A$687,$A235,Detalle!$C$2:$C$687,$B235)</f>
        <v>1</v>
      </c>
      <c r="D235" s="5">
        <f>AVERAGEIFS(Detalle!$D$2:$D$687,Detalle!$A$2:$A$687,$A235,Detalle!$C$2:$C$687,$B235)</f>
        <v>0.873</v>
      </c>
      <c r="E235" s="5">
        <f>_xlfn.MINIFS(Detalle!$D$2:$D$687,Detalle!$A$2:$A$687,$A235,Detalle!$C$2:$C$687,$B235)</f>
        <v>0.873</v>
      </c>
      <c r="F235" s="5">
        <f>_xlfn.MAXIFS(Detalle!$D$2:$D$687,Detalle!$A$2:$A$687,$A235,Detalle!$C$2:$C$687,$B235)</f>
        <v>0.873</v>
      </c>
      <c r="G235" s="5">
        <f>AVERAGEIFS(Detalle!$F$2:$F$687,Detalle!$A$2:$A$687,$A235,Detalle!$C$2:$C$687,$B235)</f>
        <v>141.166</v>
      </c>
      <c r="H235" s="5">
        <f>_xlfn.MINIFS(Detalle!$F$2:$F$687,Detalle!$A$2:$A$687,$A235,Detalle!$C$2:$C$687,$B235)</f>
        <v>141.166</v>
      </c>
      <c r="I235" s="5">
        <f>_xlfn.MAXIFS(Detalle!$F$2:$F$687,Detalle!$A$2:$A$687,$A235,Detalle!$C$2:$C$687,$B235)</f>
        <v>141.166</v>
      </c>
    </row>
    <row r="236" spans="1:9" x14ac:dyDescent="0.25">
      <c r="A236" s="3">
        <v>11</v>
      </c>
      <c r="B236" s="3" t="s">
        <v>26</v>
      </c>
      <c r="C236" s="4">
        <f>COUNTIFS(Detalle!$A$2:$A$687,$A236,Detalle!$C$2:$C$687,$B236)</f>
        <v>3</v>
      </c>
      <c r="D236" s="5">
        <f>AVERAGEIFS(Detalle!$D$2:$D$687,Detalle!$A$2:$A$687,$A236,Detalle!$C$2:$C$687,$B236)</f>
        <v>0.84299999999999997</v>
      </c>
      <c r="E236" s="5">
        <f>_xlfn.MINIFS(Detalle!$D$2:$D$687,Detalle!$A$2:$A$687,$A236,Detalle!$C$2:$C$687,$B236)</f>
        <v>0.80200000000000005</v>
      </c>
      <c r="F236" s="5">
        <f>_xlfn.MAXIFS(Detalle!$D$2:$D$687,Detalle!$A$2:$A$687,$A236,Detalle!$C$2:$C$687,$B236)</f>
        <v>0.90900000000000003</v>
      </c>
      <c r="G236" s="5">
        <f>AVERAGEIFS(Detalle!$F$2:$F$687,Detalle!$A$2:$A$687,$A236,Detalle!$C$2:$C$687,$B236)</f>
        <v>124.95533333333333</v>
      </c>
      <c r="H236" s="5">
        <f>_xlfn.MINIFS(Detalle!$F$2:$F$687,Detalle!$A$2:$A$687,$A236,Detalle!$C$2:$C$687,$B236)</f>
        <v>114.501</v>
      </c>
      <c r="I236" s="5">
        <f>_xlfn.MAXIFS(Detalle!$F$2:$F$687,Detalle!$A$2:$A$687,$A236,Detalle!$C$2:$C$687,$B236)</f>
        <v>143.93799999999999</v>
      </c>
    </row>
    <row r="237" spans="1:9" x14ac:dyDescent="0.25">
      <c r="A237" s="3">
        <v>11</v>
      </c>
      <c r="B237" s="3" t="s">
        <v>33</v>
      </c>
      <c r="C237" s="4">
        <f>COUNTIFS(Detalle!$A$2:$A$687,$A237,Detalle!$C$2:$C$687,$B237)</f>
        <v>4</v>
      </c>
      <c r="D237" s="5">
        <f>AVERAGEIFS(Detalle!$D$2:$D$687,Detalle!$A$2:$A$687,$A237,Detalle!$C$2:$C$687,$B237)</f>
        <v>0.85599999999999998</v>
      </c>
      <c r="E237" s="5">
        <f>_xlfn.MINIFS(Detalle!$D$2:$D$687,Detalle!$A$2:$A$687,$A237,Detalle!$C$2:$C$687,$B237)</f>
        <v>0.78300000000000003</v>
      </c>
      <c r="F237" s="5">
        <f>_xlfn.MAXIFS(Detalle!$D$2:$D$687,Detalle!$A$2:$A$687,$A237,Detalle!$C$2:$C$687,$B237)</f>
        <v>0.95099999999999996</v>
      </c>
      <c r="G237" s="5">
        <f>AVERAGEIFS(Detalle!$F$2:$F$687,Detalle!$A$2:$A$687,$A237,Detalle!$C$2:$C$687,$B237)</f>
        <v>134.345</v>
      </c>
      <c r="H237" s="5">
        <f>_xlfn.MINIFS(Detalle!$F$2:$F$687,Detalle!$A$2:$A$687,$A237,Detalle!$C$2:$C$687,$B237)</f>
        <v>108.873</v>
      </c>
      <c r="I237" s="5">
        <f>_xlfn.MAXIFS(Detalle!$F$2:$F$687,Detalle!$A$2:$A$687,$A237,Detalle!$C$2:$C$687,$B237)</f>
        <v>155.411</v>
      </c>
    </row>
    <row r="238" spans="1:9" x14ac:dyDescent="0.25">
      <c r="A238" s="3">
        <v>11</v>
      </c>
      <c r="B238" s="3" t="s">
        <v>30</v>
      </c>
      <c r="C238" s="4">
        <f>COUNTIFS(Detalle!$A$2:$A$687,$A238,Detalle!$C$2:$C$687,$B238)</f>
        <v>1</v>
      </c>
      <c r="D238" s="5">
        <f>AVERAGEIFS(Detalle!$D$2:$D$687,Detalle!$A$2:$A$687,$A238,Detalle!$C$2:$C$687,$B238)</f>
        <v>0.93300000000000005</v>
      </c>
      <c r="E238" s="5">
        <f>_xlfn.MINIFS(Detalle!$D$2:$D$687,Detalle!$A$2:$A$687,$A238,Detalle!$C$2:$C$687,$B238)</f>
        <v>0.93300000000000005</v>
      </c>
      <c r="F238" s="5">
        <f>_xlfn.MAXIFS(Detalle!$D$2:$D$687,Detalle!$A$2:$A$687,$A238,Detalle!$C$2:$C$687,$B238)</f>
        <v>0.93300000000000005</v>
      </c>
      <c r="G238" s="5">
        <f>AVERAGEIFS(Detalle!$F$2:$F$687,Detalle!$A$2:$A$687,$A238,Detalle!$C$2:$C$687,$B238)</f>
        <v>131.43700000000001</v>
      </c>
      <c r="H238" s="5">
        <f>_xlfn.MINIFS(Detalle!$F$2:$F$687,Detalle!$A$2:$A$687,$A238,Detalle!$C$2:$C$687,$B238)</f>
        <v>131.43700000000001</v>
      </c>
      <c r="I238" s="5">
        <f>_xlfn.MAXIFS(Detalle!$F$2:$F$687,Detalle!$A$2:$A$687,$A238,Detalle!$C$2:$C$687,$B238)</f>
        <v>131.43700000000001</v>
      </c>
    </row>
    <row r="239" spans="1:9" x14ac:dyDescent="0.25">
      <c r="A239" s="3">
        <v>11</v>
      </c>
      <c r="B239" s="3" t="s">
        <v>27</v>
      </c>
      <c r="C239" s="4">
        <f>COUNTIFS(Detalle!$A$2:$A$687,$A239,Detalle!$C$2:$C$687,$B239)</f>
        <v>1</v>
      </c>
      <c r="D239" s="5">
        <f>AVERAGEIFS(Detalle!$D$2:$D$687,Detalle!$A$2:$A$687,$A239,Detalle!$C$2:$C$687,$B239)</f>
        <v>0.74</v>
      </c>
      <c r="E239" s="5">
        <f>_xlfn.MINIFS(Detalle!$D$2:$D$687,Detalle!$A$2:$A$687,$A239,Detalle!$C$2:$C$687,$B239)</f>
        <v>0.74</v>
      </c>
      <c r="F239" s="5">
        <f>_xlfn.MAXIFS(Detalle!$D$2:$D$687,Detalle!$A$2:$A$687,$A239,Detalle!$C$2:$C$687,$B239)</f>
        <v>0.74</v>
      </c>
      <c r="G239" s="5">
        <f>AVERAGEIFS(Detalle!$F$2:$F$687,Detalle!$A$2:$A$687,$A239,Detalle!$C$2:$C$687,$B239)</f>
        <v>151.446</v>
      </c>
      <c r="H239" s="5">
        <f>_xlfn.MINIFS(Detalle!$F$2:$F$687,Detalle!$A$2:$A$687,$A239,Detalle!$C$2:$C$687,$B239)</f>
        <v>151.446</v>
      </c>
      <c r="I239" s="5">
        <f>_xlfn.MAXIFS(Detalle!$F$2:$F$687,Detalle!$A$2:$A$687,$A239,Detalle!$C$2:$C$687,$B239)</f>
        <v>151.446</v>
      </c>
    </row>
    <row r="240" spans="1:9" x14ac:dyDescent="0.25">
      <c r="A240" s="3">
        <v>11</v>
      </c>
      <c r="B240" s="3" t="s">
        <v>32</v>
      </c>
      <c r="C240" s="4">
        <f>COUNTIFS(Detalle!$A$2:$A$687,$A240,Detalle!$C$2:$C$687,$B240)</f>
        <v>1</v>
      </c>
      <c r="D240" s="5">
        <f>AVERAGEIFS(Detalle!$D$2:$D$687,Detalle!$A$2:$A$687,$A240,Detalle!$C$2:$C$687,$B240)</f>
        <v>0.80500000000000005</v>
      </c>
      <c r="E240" s="5">
        <f>_xlfn.MINIFS(Detalle!$D$2:$D$687,Detalle!$A$2:$A$687,$A240,Detalle!$C$2:$C$687,$B240)</f>
        <v>0.80500000000000005</v>
      </c>
      <c r="F240" s="5">
        <f>_xlfn.MAXIFS(Detalle!$D$2:$D$687,Detalle!$A$2:$A$687,$A240,Detalle!$C$2:$C$687,$B240)</f>
        <v>0.80500000000000005</v>
      </c>
      <c r="G240" s="5">
        <f>AVERAGEIFS(Detalle!$F$2:$F$687,Detalle!$A$2:$A$687,$A240,Detalle!$C$2:$C$687,$B240)</f>
        <v>131.80199999999999</v>
      </c>
      <c r="H240" s="5">
        <f>_xlfn.MINIFS(Detalle!$F$2:$F$687,Detalle!$A$2:$A$687,$A240,Detalle!$C$2:$C$687,$B240)</f>
        <v>131.80199999999999</v>
      </c>
      <c r="I240" s="5">
        <f>_xlfn.MAXIFS(Detalle!$F$2:$F$687,Detalle!$A$2:$A$687,$A240,Detalle!$C$2:$C$687,$B240)</f>
        <v>131.80199999999999</v>
      </c>
    </row>
    <row r="241" spans="1:9" x14ac:dyDescent="0.25">
      <c r="A241" s="3">
        <v>11</v>
      </c>
      <c r="B241" s="3" t="s">
        <v>24</v>
      </c>
      <c r="C241" s="4">
        <f>COUNTIFS(Detalle!$A$2:$A$687,$A241,Detalle!$C$2:$C$687,$B241)</f>
        <v>2</v>
      </c>
      <c r="D241" s="5">
        <f>AVERAGEIFS(Detalle!$D$2:$D$687,Detalle!$A$2:$A$687,$A241,Detalle!$C$2:$C$687,$B241)</f>
        <v>0.874</v>
      </c>
      <c r="E241" s="5">
        <f>_xlfn.MINIFS(Detalle!$D$2:$D$687,Detalle!$A$2:$A$687,$A241,Detalle!$C$2:$C$687,$B241)</f>
        <v>0.83399999999999996</v>
      </c>
      <c r="F241" s="5">
        <f>_xlfn.MAXIFS(Detalle!$D$2:$D$687,Detalle!$A$2:$A$687,$A241,Detalle!$C$2:$C$687,$B241)</f>
        <v>0.91400000000000003</v>
      </c>
      <c r="G241" s="5">
        <f>AVERAGEIFS(Detalle!$F$2:$F$687,Detalle!$A$2:$A$687,$A241,Detalle!$C$2:$C$687,$B241)</f>
        <v>121.31549999999999</v>
      </c>
      <c r="H241" s="5">
        <f>_xlfn.MINIFS(Detalle!$F$2:$F$687,Detalle!$A$2:$A$687,$A241,Detalle!$C$2:$C$687,$B241)</f>
        <v>118.06399999999999</v>
      </c>
      <c r="I241" s="5">
        <f>_xlfn.MAXIFS(Detalle!$F$2:$F$687,Detalle!$A$2:$A$687,$A241,Detalle!$C$2:$C$687,$B241)</f>
        <v>124.56699999999999</v>
      </c>
    </row>
    <row r="242" spans="1:9" x14ac:dyDescent="0.25">
      <c r="A242" s="3">
        <v>11</v>
      </c>
      <c r="B242" s="3" t="s">
        <v>39</v>
      </c>
      <c r="C242" s="4">
        <f>COUNTIFS(Detalle!$A$2:$A$687,$A242,Detalle!$C$2:$C$687,$B242)</f>
        <v>2</v>
      </c>
      <c r="D242" s="5">
        <f>AVERAGEIFS(Detalle!$D$2:$D$687,Detalle!$A$2:$A$687,$A242,Detalle!$C$2:$C$687,$B242)</f>
        <v>0.78150000000000008</v>
      </c>
      <c r="E242" s="5">
        <f>_xlfn.MINIFS(Detalle!$D$2:$D$687,Detalle!$A$2:$A$687,$A242,Detalle!$C$2:$C$687,$B242)</f>
        <v>0.65800000000000003</v>
      </c>
      <c r="F242" s="5">
        <f>_xlfn.MAXIFS(Detalle!$D$2:$D$687,Detalle!$A$2:$A$687,$A242,Detalle!$C$2:$C$687,$B242)</f>
        <v>0.90500000000000003</v>
      </c>
      <c r="G242" s="5">
        <f>AVERAGEIFS(Detalle!$F$2:$F$687,Detalle!$A$2:$A$687,$A242,Detalle!$C$2:$C$687,$B242)</f>
        <v>128.35749999999999</v>
      </c>
      <c r="H242" s="5">
        <f>_xlfn.MINIFS(Detalle!$F$2:$F$687,Detalle!$A$2:$A$687,$A242,Detalle!$C$2:$C$687,$B242)</f>
        <v>122.872</v>
      </c>
      <c r="I242" s="5">
        <f>_xlfn.MAXIFS(Detalle!$F$2:$F$687,Detalle!$A$2:$A$687,$A242,Detalle!$C$2:$C$687,$B242)</f>
        <v>133.84299999999999</v>
      </c>
    </row>
    <row r="243" spans="1:9" x14ac:dyDescent="0.25">
      <c r="A243" s="3">
        <v>11</v>
      </c>
      <c r="B243" s="3" t="s">
        <v>19</v>
      </c>
      <c r="C243" s="4">
        <f>COUNTIFS(Detalle!$A$2:$A$687,$A243,Detalle!$C$2:$C$687,$B243)</f>
        <v>2</v>
      </c>
      <c r="D243" s="5">
        <f>AVERAGEIFS(Detalle!$D$2:$D$687,Detalle!$A$2:$A$687,$A243,Detalle!$C$2:$C$687,$B243)</f>
        <v>0.85850000000000004</v>
      </c>
      <c r="E243" s="5">
        <f>_xlfn.MINIFS(Detalle!$D$2:$D$687,Detalle!$A$2:$A$687,$A243,Detalle!$C$2:$C$687,$B243)</f>
        <v>0.77100000000000002</v>
      </c>
      <c r="F243" s="5">
        <f>_xlfn.MAXIFS(Detalle!$D$2:$D$687,Detalle!$A$2:$A$687,$A243,Detalle!$C$2:$C$687,$B243)</f>
        <v>0.94599999999999995</v>
      </c>
      <c r="G243" s="5">
        <f>AVERAGEIFS(Detalle!$F$2:$F$687,Detalle!$A$2:$A$687,$A243,Detalle!$C$2:$C$687,$B243)</f>
        <v>134.16900000000001</v>
      </c>
      <c r="H243" s="5">
        <f>_xlfn.MINIFS(Detalle!$F$2:$F$687,Detalle!$A$2:$A$687,$A243,Detalle!$C$2:$C$687,$B243)</f>
        <v>120.551</v>
      </c>
      <c r="I243" s="5">
        <f>_xlfn.MAXIFS(Detalle!$F$2:$F$687,Detalle!$A$2:$A$687,$A243,Detalle!$C$2:$C$687,$B243)</f>
        <v>147.78700000000001</v>
      </c>
    </row>
    <row r="244" spans="1:9" x14ac:dyDescent="0.25">
      <c r="A244" s="3">
        <v>11</v>
      </c>
      <c r="B244" s="3" t="s">
        <v>11</v>
      </c>
      <c r="C244" s="4">
        <f>COUNTIFS(Detalle!$A$2:$A$687,$A244,Detalle!$C$2:$C$687,$B244)</f>
        <v>2</v>
      </c>
      <c r="D244" s="5">
        <f>AVERAGEIFS(Detalle!$D$2:$D$687,Detalle!$A$2:$A$687,$A244,Detalle!$C$2:$C$687,$B244)</f>
        <v>0.88549999999999995</v>
      </c>
      <c r="E244" s="5">
        <f>_xlfn.MINIFS(Detalle!$D$2:$D$687,Detalle!$A$2:$A$687,$A244,Detalle!$C$2:$C$687,$B244)</f>
        <v>0.877</v>
      </c>
      <c r="F244" s="5">
        <f>_xlfn.MAXIFS(Detalle!$D$2:$D$687,Detalle!$A$2:$A$687,$A244,Detalle!$C$2:$C$687,$B244)</f>
        <v>0.89400000000000002</v>
      </c>
      <c r="G244" s="5">
        <f>AVERAGEIFS(Detalle!$F$2:$F$687,Detalle!$A$2:$A$687,$A244,Detalle!$C$2:$C$687,$B244)</f>
        <v>130.46199999999999</v>
      </c>
      <c r="H244" s="5">
        <f>_xlfn.MINIFS(Detalle!$F$2:$F$687,Detalle!$A$2:$A$687,$A244,Detalle!$C$2:$C$687,$B244)</f>
        <v>121.259</v>
      </c>
      <c r="I244" s="5">
        <f>_xlfn.MAXIFS(Detalle!$F$2:$F$687,Detalle!$A$2:$A$687,$A244,Detalle!$C$2:$C$687,$B244)</f>
        <v>139.66499999999999</v>
      </c>
    </row>
    <row r="245" spans="1:9" x14ac:dyDescent="0.25">
      <c r="A245" s="3">
        <v>11</v>
      </c>
      <c r="B245" s="3" t="s">
        <v>36</v>
      </c>
      <c r="C245" s="4">
        <f>COUNTIFS(Detalle!$A$2:$A$687,$A245,Detalle!$C$2:$C$687,$B245)</f>
        <v>1</v>
      </c>
      <c r="D245" s="5">
        <f>AVERAGEIFS(Detalle!$D$2:$D$687,Detalle!$A$2:$A$687,$A245,Detalle!$C$2:$C$687,$B245)</f>
        <v>0.878</v>
      </c>
      <c r="E245" s="5">
        <f>_xlfn.MINIFS(Detalle!$D$2:$D$687,Detalle!$A$2:$A$687,$A245,Detalle!$C$2:$C$687,$B245)</f>
        <v>0.878</v>
      </c>
      <c r="F245" s="5">
        <f>_xlfn.MAXIFS(Detalle!$D$2:$D$687,Detalle!$A$2:$A$687,$A245,Detalle!$C$2:$C$687,$B245)</f>
        <v>0.878</v>
      </c>
      <c r="G245" s="5">
        <f>AVERAGEIFS(Detalle!$F$2:$F$687,Detalle!$A$2:$A$687,$A245,Detalle!$C$2:$C$687,$B245)</f>
        <v>143.119</v>
      </c>
      <c r="H245" s="5">
        <f>_xlfn.MINIFS(Detalle!$F$2:$F$687,Detalle!$A$2:$A$687,$A245,Detalle!$C$2:$C$687,$B245)</f>
        <v>143.119</v>
      </c>
      <c r="I245" s="5">
        <f>_xlfn.MAXIFS(Detalle!$F$2:$F$687,Detalle!$A$2:$A$687,$A245,Detalle!$C$2:$C$687,$B245)</f>
        <v>143.119</v>
      </c>
    </row>
    <row r="246" spans="1:9" x14ac:dyDescent="0.25">
      <c r="A246" s="3">
        <v>11</v>
      </c>
      <c r="B246" s="3" t="s">
        <v>15</v>
      </c>
      <c r="C246" s="4">
        <f>COUNTIFS(Detalle!$A$2:$A$687,$A246,Detalle!$C$2:$C$687,$B246)</f>
        <v>1</v>
      </c>
      <c r="D246" s="5">
        <f>AVERAGEIFS(Detalle!$D$2:$D$687,Detalle!$A$2:$A$687,$A246,Detalle!$C$2:$C$687,$B246)</f>
        <v>0.79900000000000004</v>
      </c>
      <c r="E246" s="5">
        <f>_xlfn.MINIFS(Detalle!$D$2:$D$687,Detalle!$A$2:$A$687,$A246,Detalle!$C$2:$C$687,$B246)</f>
        <v>0.79900000000000004</v>
      </c>
      <c r="F246" s="5">
        <f>_xlfn.MAXIFS(Detalle!$D$2:$D$687,Detalle!$A$2:$A$687,$A246,Detalle!$C$2:$C$687,$B246)</f>
        <v>0.79900000000000004</v>
      </c>
      <c r="G246" s="5">
        <f>AVERAGEIFS(Detalle!$F$2:$F$687,Detalle!$A$2:$A$687,$A246,Detalle!$C$2:$C$687,$B246)</f>
        <v>120.643</v>
      </c>
      <c r="H246" s="5">
        <f>_xlfn.MINIFS(Detalle!$F$2:$F$687,Detalle!$A$2:$A$687,$A246,Detalle!$C$2:$C$687,$B246)</f>
        <v>120.643</v>
      </c>
      <c r="I246" s="5">
        <f>_xlfn.MAXIFS(Detalle!$F$2:$F$687,Detalle!$A$2:$A$687,$A246,Detalle!$C$2:$C$687,$B246)</f>
        <v>120.643</v>
      </c>
    </row>
    <row r="247" spans="1:9" x14ac:dyDescent="0.25">
      <c r="A247" s="3">
        <v>11</v>
      </c>
      <c r="B247" s="3" t="s">
        <v>18</v>
      </c>
      <c r="C247" s="4">
        <f>COUNTIFS(Detalle!$A$2:$A$687,$A247,Detalle!$C$2:$C$687,$B247)</f>
        <v>3</v>
      </c>
      <c r="D247" s="5">
        <f>AVERAGEIFS(Detalle!$D$2:$D$687,Detalle!$A$2:$A$687,$A247,Detalle!$C$2:$C$687,$B247)</f>
        <v>0.78200000000000003</v>
      </c>
      <c r="E247" s="5">
        <f>_xlfn.MINIFS(Detalle!$D$2:$D$687,Detalle!$A$2:$A$687,$A247,Detalle!$C$2:$C$687,$B247)</f>
        <v>0.68200000000000005</v>
      </c>
      <c r="F247" s="5">
        <f>_xlfn.MAXIFS(Detalle!$D$2:$D$687,Detalle!$A$2:$A$687,$A247,Detalle!$C$2:$C$687,$B247)</f>
        <v>0.84299999999999997</v>
      </c>
      <c r="G247" s="5">
        <f>AVERAGEIFS(Detalle!$F$2:$F$687,Detalle!$A$2:$A$687,$A247,Detalle!$C$2:$C$687,$B247)</f>
        <v>129.02500000000001</v>
      </c>
      <c r="H247" s="5">
        <f>_xlfn.MINIFS(Detalle!$F$2:$F$687,Detalle!$A$2:$A$687,$A247,Detalle!$C$2:$C$687,$B247)</f>
        <v>126.887</v>
      </c>
      <c r="I247" s="5">
        <f>_xlfn.MAXIFS(Detalle!$F$2:$F$687,Detalle!$A$2:$A$687,$A247,Detalle!$C$2:$C$687,$B247)</f>
        <v>130.874</v>
      </c>
    </row>
    <row r="248" spans="1:9" x14ac:dyDescent="0.25">
      <c r="A248" s="3">
        <v>11</v>
      </c>
      <c r="B248" s="3" t="s">
        <v>17</v>
      </c>
      <c r="C248" s="4">
        <f>COUNTIFS(Detalle!$A$2:$A$687,$A248,Detalle!$C$2:$C$687,$B248)</f>
        <v>2</v>
      </c>
      <c r="D248" s="5">
        <f>AVERAGEIFS(Detalle!$D$2:$D$687,Detalle!$A$2:$A$687,$A248,Detalle!$C$2:$C$687,$B248)</f>
        <v>0.90500000000000003</v>
      </c>
      <c r="E248" s="5">
        <f>_xlfn.MINIFS(Detalle!$D$2:$D$687,Detalle!$A$2:$A$687,$A248,Detalle!$C$2:$C$687,$B248)</f>
        <v>0.86899999999999999</v>
      </c>
      <c r="F248" s="5">
        <f>_xlfn.MAXIFS(Detalle!$D$2:$D$687,Detalle!$A$2:$A$687,$A248,Detalle!$C$2:$C$687,$B248)</f>
        <v>0.94099999999999995</v>
      </c>
      <c r="G248" s="5">
        <f>AVERAGEIFS(Detalle!$F$2:$F$687,Detalle!$A$2:$A$687,$A248,Detalle!$C$2:$C$687,$B248)</f>
        <v>125.583</v>
      </c>
      <c r="H248" s="5">
        <f>_xlfn.MINIFS(Detalle!$F$2:$F$687,Detalle!$A$2:$A$687,$A248,Detalle!$C$2:$C$687,$B248)</f>
        <v>122.801</v>
      </c>
      <c r="I248" s="5">
        <f>_xlfn.MAXIFS(Detalle!$F$2:$F$687,Detalle!$A$2:$A$687,$A248,Detalle!$C$2:$C$687,$B248)</f>
        <v>128.36500000000001</v>
      </c>
    </row>
    <row r="249" spans="1:9" x14ac:dyDescent="0.25">
      <c r="A249" s="3">
        <v>11</v>
      </c>
      <c r="B249" s="3" t="s">
        <v>34</v>
      </c>
      <c r="C249" s="4">
        <f>COUNTIFS(Detalle!$A$2:$A$687,$A249,Detalle!$C$2:$C$687,$B249)</f>
        <v>2</v>
      </c>
      <c r="D249" s="5">
        <f>AVERAGEIFS(Detalle!$D$2:$D$687,Detalle!$A$2:$A$687,$A249,Detalle!$C$2:$C$687,$B249)</f>
        <v>0.80049999999999999</v>
      </c>
      <c r="E249" s="5">
        <f>_xlfn.MINIFS(Detalle!$D$2:$D$687,Detalle!$A$2:$A$687,$A249,Detalle!$C$2:$C$687,$B249)</f>
        <v>0.74199999999999999</v>
      </c>
      <c r="F249" s="5">
        <f>_xlfn.MAXIFS(Detalle!$D$2:$D$687,Detalle!$A$2:$A$687,$A249,Detalle!$C$2:$C$687,$B249)</f>
        <v>0.85899999999999999</v>
      </c>
      <c r="G249" s="5">
        <f>AVERAGEIFS(Detalle!$F$2:$F$687,Detalle!$A$2:$A$687,$A249,Detalle!$C$2:$C$687,$B249)</f>
        <v>115.4465</v>
      </c>
      <c r="H249" s="5">
        <f>_xlfn.MINIFS(Detalle!$F$2:$F$687,Detalle!$A$2:$A$687,$A249,Detalle!$C$2:$C$687,$B249)</f>
        <v>106.905</v>
      </c>
      <c r="I249" s="5">
        <f>_xlfn.MAXIFS(Detalle!$F$2:$F$687,Detalle!$A$2:$A$687,$A249,Detalle!$C$2:$C$687,$B249)</f>
        <v>123.988</v>
      </c>
    </row>
    <row r="250" spans="1:9" x14ac:dyDescent="0.25">
      <c r="A250" s="3">
        <v>11</v>
      </c>
      <c r="B250" s="3" t="s">
        <v>28</v>
      </c>
      <c r="C250" s="4">
        <f>COUNTIFS(Detalle!$A$2:$A$687,$A250,Detalle!$C$2:$C$687,$B250)</f>
        <v>4</v>
      </c>
      <c r="D250" s="5">
        <f>AVERAGEIFS(Detalle!$D$2:$D$687,Detalle!$A$2:$A$687,$A250,Detalle!$C$2:$C$687,$B250)</f>
        <v>0.83000000000000007</v>
      </c>
      <c r="E250" s="5">
        <f>_xlfn.MINIFS(Detalle!$D$2:$D$687,Detalle!$A$2:$A$687,$A250,Detalle!$C$2:$C$687,$B250)</f>
        <v>0.71699999999999997</v>
      </c>
      <c r="F250" s="5">
        <f>_xlfn.MAXIFS(Detalle!$D$2:$D$687,Detalle!$A$2:$A$687,$A250,Detalle!$C$2:$C$687,$B250)</f>
        <v>0.93899999999999995</v>
      </c>
      <c r="G250" s="5">
        <f>AVERAGEIFS(Detalle!$F$2:$F$687,Detalle!$A$2:$A$687,$A250,Detalle!$C$2:$C$687,$B250)</f>
        <v>115.0325</v>
      </c>
      <c r="H250" s="5">
        <f>_xlfn.MINIFS(Detalle!$F$2:$F$687,Detalle!$A$2:$A$687,$A250,Detalle!$C$2:$C$687,$B250)</f>
        <v>98.525999999999996</v>
      </c>
      <c r="I250" s="5">
        <f>_xlfn.MAXIFS(Detalle!$F$2:$F$687,Detalle!$A$2:$A$687,$A250,Detalle!$C$2:$C$687,$B250)</f>
        <v>127.002</v>
      </c>
    </row>
    <row r="251" spans="1:9" x14ac:dyDescent="0.25">
      <c r="A251" s="3">
        <v>11</v>
      </c>
      <c r="B251" s="3" t="s">
        <v>37</v>
      </c>
      <c r="C251" s="4">
        <f>COUNTIFS(Detalle!$A$2:$A$687,$A251,Detalle!$C$2:$C$687,$B251)</f>
        <v>1</v>
      </c>
      <c r="D251" s="5">
        <f>AVERAGEIFS(Detalle!$D$2:$D$687,Detalle!$A$2:$A$687,$A251,Detalle!$C$2:$C$687,$B251)</f>
        <v>0.71799999999999997</v>
      </c>
      <c r="E251" s="5">
        <f>_xlfn.MINIFS(Detalle!$D$2:$D$687,Detalle!$A$2:$A$687,$A251,Detalle!$C$2:$C$687,$B251)</f>
        <v>0.71799999999999997</v>
      </c>
      <c r="F251" s="5">
        <f>_xlfn.MAXIFS(Detalle!$D$2:$D$687,Detalle!$A$2:$A$687,$A251,Detalle!$C$2:$C$687,$B251)</f>
        <v>0.71799999999999997</v>
      </c>
      <c r="G251" s="5">
        <f>AVERAGEIFS(Detalle!$F$2:$F$687,Detalle!$A$2:$A$687,$A251,Detalle!$C$2:$C$687,$B251)</f>
        <v>110.886</v>
      </c>
      <c r="H251" s="5">
        <f>_xlfn.MINIFS(Detalle!$F$2:$F$687,Detalle!$A$2:$A$687,$A251,Detalle!$C$2:$C$687,$B251)</f>
        <v>110.886</v>
      </c>
      <c r="I251" s="5">
        <f>_xlfn.MAXIFS(Detalle!$F$2:$F$687,Detalle!$A$2:$A$687,$A251,Detalle!$C$2:$C$687,$B251)</f>
        <v>110.886</v>
      </c>
    </row>
    <row r="252" spans="1:9" x14ac:dyDescent="0.25">
      <c r="A252" s="3">
        <v>11</v>
      </c>
      <c r="B252" s="3" t="s">
        <v>21</v>
      </c>
      <c r="C252" s="4">
        <f>COUNTIFS(Detalle!$A$2:$A$687,$A252,Detalle!$C$2:$C$687,$B252)</f>
        <v>3</v>
      </c>
      <c r="D252" s="5">
        <f>AVERAGEIFS(Detalle!$D$2:$D$687,Detalle!$A$2:$A$687,$A252,Detalle!$C$2:$C$687,$B252)</f>
        <v>0.83933333333333338</v>
      </c>
      <c r="E252" s="5">
        <f>_xlfn.MINIFS(Detalle!$D$2:$D$687,Detalle!$A$2:$A$687,$A252,Detalle!$C$2:$C$687,$B252)</f>
        <v>0.76700000000000002</v>
      </c>
      <c r="F252" s="5">
        <f>_xlfn.MAXIFS(Detalle!$D$2:$D$687,Detalle!$A$2:$A$687,$A252,Detalle!$C$2:$C$687,$B252)</f>
        <v>0.88900000000000001</v>
      </c>
      <c r="G252" s="5">
        <f>AVERAGEIFS(Detalle!$F$2:$F$687,Detalle!$A$2:$A$687,$A252,Detalle!$C$2:$C$687,$B252)</f>
        <v>133.922</v>
      </c>
      <c r="H252" s="5">
        <f>_xlfn.MINIFS(Detalle!$F$2:$F$687,Detalle!$A$2:$A$687,$A252,Detalle!$C$2:$C$687,$B252)</f>
        <v>120.11</v>
      </c>
      <c r="I252" s="5">
        <f>_xlfn.MAXIFS(Detalle!$F$2:$F$687,Detalle!$A$2:$A$687,$A252,Detalle!$C$2:$C$687,$B252)</f>
        <v>144.11799999999999</v>
      </c>
    </row>
    <row r="253" spans="1:9" x14ac:dyDescent="0.25">
      <c r="A253" s="3">
        <v>11</v>
      </c>
      <c r="B253" s="3" t="s">
        <v>20</v>
      </c>
      <c r="C253" s="4">
        <f>COUNTIFS(Detalle!$A$2:$A$687,$A253,Detalle!$C$2:$C$687,$B253)</f>
        <v>2</v>
      </c>
      <c r="D253" s="5">
        <f>AVERAGEIFS(Detalle!$D$2:$D$687,Detalle!$A$2:$A$687,$A253,Detalle!$C$2:$C$687,$B253)</f>
        <v>0.77600000000000002</v>
      </c>
      <c r="E253" s="5">
        <f>_xlfn.MINIFS(Detalle!$D$2:$D$687,Detalle!$A$2:$A$687,$A253,Detalle!$C$2:$C$687,$B253)</f>
        <v>0.76200000000000001</v>
      </c>
      <c r="F253" s="5">
        <f>_xlfn.MAXIFS(Detalle!$D$2:$D$687,Detalle!$A$2:$A$687,$A253,Detalle!$C$2:$C$687,$B253)</f>
        <v>0.79</v>
      </c>
      <c r="G253" s="5">
        <f>AVERAGEIFS(Detalle!$F$2:$F$687,Detalle!$A$2:$A$687,$A253,Detalle!$C$2:$C$687,$B253)</f>
        <v>149.27449999999999</v>
      </c>
      <c r="H253" s="5">
        <f>_xlfn.MINIFS(Detalle!$F$2:$F$687,Detalle!$A$2:$A$687,$A253,Detalle!$C$2:$C$687,$B253)</f>
        <v>139.43100000000001</v>
      </c>
      <c r="I253" s="5">
        <f>_xlfn.MAXIFS(Detalle!$F$2:$F$687,Detalle!$A$2:$A$687,$A253,Detalle!$C$2:$C$687,$B253)</f>
        <v>159.11799999999999</v>
      </c>
    </row>
    <row r="254" spans="1:9" x14ac:dyDescent="0.25">
      <c r="A254" s="3">
        <v>12</v>
      </c>
      <c r="B254" s="3" t="s">
        <v>38</v>
      </c>
      <c r="C254" s="4">
        <f>COUNTIFS(Detalle!$A$2:$A$687,$A254,Detalle!$C$2:$C$687,$B254)</f>
        <v>1</v>
      </c>
      <c r="D254" s="5">
        <f>AVERAGEIFS(Detalle!$D$2:$D$687,Detalle!$A$2:$A$687,$A254,Detalle!$C$2:$C$687,$B254)</f>
        <v>0.873</v>
      </c>
      <c r="E254" s="5">
        <f>_xlfn.MINIFS(Detalle!$D$2:$D$687,Detalle!$A$2:$A$687,$A254,Detalle!$C$2:$C$687,$B254)</f>
        <v>0.873</v>
      </c>
      <c r="F254" s="5">
        <f>_xlfn.MAXIFS(Detalle!$D$2:$D$687,Detalle!$A$2:$A$687,$A254,Detalle!$C$2:$C$687,$B254)</f>
        <v>0.873</v>
      </c>
      <c r="G254" s="5">
        <f>AVERAGEIFS(Detalle!$F$2:$F$687,Detalle!$A$2:$A$687,$A254,Detalle!$C$2:$C$687,$B254)</f>
        <v>101.92100000000001</v>
      </c>
      <c r="H254" s="5">
        <f>_xlfn.MINIFS(Detalle!$F$2:$F$687,Detalle!$A$2:$A$687,$A254,Detalle!$C$2:$C$687,$B254)</f>
        <v>101.92100000000001</v>
      </c>
      <c r="I254" s="5">
        <f>_xlfn.MAXIFS(Detalle!$F$2:$F$687,Detalle!$A$2:$A$687,$A254,Detalle!$C$2:$C$687,$B254)</f>
        <v>101.92100000000001</v>
      </c>
    </row>
    <row r="255" spans="1:9" x14ac:dyDescent="0.25">
      <c r="A255" s="3">
        <v>12</v>
      </c>
      <c r="B255" s="3" t="s">
        <v>23</v>
      </c>
      <c r="C255" s="4">
        <f>COUNTIFS(Detalle!$A$2:$A$687,$A255,Detalle!$C$2:$C$687,$B255)</f>
        <v>2</v>
      </c>
      <c r="D255" s="5">
        <f>AVERAGEIFS(Detalle!$D$2:$D$687,Detalle!$A$2:$A$687,$A255,Detalle!$C$2:$C$687,$B255)</f>
        <v>0.8859999999999999</v>
      </c>
      <c r="E255" s="5">
        <f>_xlfn.MINIFS(Detalle!$D$2:$D$687,Detalle!$A$2:$A$687,$A255,Detalle!$C$2:$C$687,$B255)</f>
        <v>0.81499999999999995</v>
      </c>
      <c r="F255" s="5">
        <f>_xlfn.MAXIFS(Detalle!$D$2:$D$687,Detalle!$A$2:$A$687,$A255,Detalle!$C$2:$C$687,$B255)</f>
        <v>0.95699999999999996</v>
      </c>
      <c r="G255" s="5">
        <f>AVERAGEIFS(Detalle!$F$2:$F$687,Detalle!$A$2:$A$687,$A255,Detalle!$C$2:$C$687,$B255)</f>
        <v>122.48699999999999</v>
      </c>
      <c r="H255" s="5">
        <f>_xlfn.MINIFS(Detalle!$F$2:$F$687,Detalle!$A$2:$A$687,$A255,Detalle!$C$2:$C$687,$B255)</f>
        <v>111.438</v>
      </c>
      <c r="I255" s="5">
        <f>_xlfn.MAXIFS(Detalle!$F$2:$F$687,Detalle!$A$2:$A$687,$A255,Detalle!$C$2:$C$687,$B255)</f>
        <v>133.536</v>
      </c>
    </row>
    <row r="256" spans="1:9" x14ac:dyDescent="0.25">
      <c r="A256" s="3">
        <v>12</v>
      </c>
      <c r="B256" s="3" t="s">
        <v>25</v>
      </c>
      <c r="C256" s="4">
        <f>COUNTIFS(Detalle!$A$2:$A$687,$A256,Detalle!$C$2:$C$687,$B256)</f>
        <v>3</v>
      </c>
      <c r="D256" s="5">
        <f>AVERAGEIFS(Detalle!$D$2:$D$687,Detalle!$A$2:$A$687,$A256,Detalle!$C$2:$C$687,$B256)</f>
        <v>0.87133333333333329</v>
      </c>
      <c r="E256" s="5">
        <f>_xlfn.MINIFS(Detalle!$D$2:$D$687,Detalle!$A$2:$A$687,$A256,Detalle!$C$2:$C$687,$B256)</f>
        <v>0.76</v>
      </c>
      <c r="F256" s="5">
        <f>_xlfn.MAXIFS(Detalle!$D$2:$D$687,Detalle!$A$2:$A$687,$A256,Detalle!$C$2:$C$687,$B256)</f>
        <v>0.96899999999999997</v>
      </c>
      <c r="G256" s="5">
        <f>AVERAGEIFS(Detalle!$F$2:$F$687,Detalle!$A$2:$A$687,$A256,Detalle!$C$2:$C$687,$B256)</f>
        <v>133.48500000000001</v>
      </c>
      <c r="H256" s="5">
        <f>_xlfn.MINIFS(Detalle!$F$2:$F$687,Detalle!$A$2:$A$687,$A256,Detalle!$C$2:$C$687,$B256)</f>
        <v>124.529</v>
      </c>
      <c r="I256" s="5">
        <f>_xlfn.MAXIFS(Detalle!$F$2:$F$687,Detalle!$A$2:$A$687,$A256,Detalle!$C$2:$C$687,$B256)</f>
        <v>139.15799999999999</v>
      </c>
    </row>
    <row r="257" spans="1:9" x14ac:dyDescent="0.25">
      <c r="A257" s="3">
        <v>12</v>
      </c>
      <c r="B257" s="3" t="s">
        <v>31</v>
      </c>
      <c r="C257" s="4">
        <f>COUNTIFS(Detalle!$A$2:$A$687,$A257,Detalle!$C$2:$C$687,$B257)</f>
        <v>2</v>
      </c>
      <c r="D257" s="5">
        <f>AVERAGEIFS(Detalle!$D$2:$D$687,Detalle!$A$2:$A$687,$A257,Detalle!$C$2:$C$687,$B257)</f>
        <v>0.8135</v>
      </c>
      <c r="E257" s="5">
        <f>_xlfn.MINIFS(Detalle!$D$2:$D$687,Detalle!$A$2:$A$687,$A257,Detalle!$C$2:$C$687,$B257)</f>
        <v>0.74399999999999999</v>
      </c>
      <c r="F257" s="5">
        <f>_xlfn.MAXIFS(Detalle!$D$2:$D$687,Detalle!$A$2:$A$687,$A257,Detalle!$C$2:$C$687,$B257)</f>
        <v>0.88300000000000001</v>
      </c>
      <c r="G257" s="5">
        <f>AVERAGEIFS(Detalle!$F$2:$F$687,Detalle!$A$2:$A$687,$A257,Detalle!$C$2:$C$687,$B257)</f>
        <v>129.35050000000001</v>
      </c>
      <c r="H257" s="5">
        <f>_xlfn.MINIFS(Detalle!$F$2:$F$687,Detalle!$A$2:$A$687,$A257,Detalle!$C$2:$C$687,$B257)</f>
        <v>99.447000000000003</v>
      </c>
      <c r="I257" s="5">
        <f>_xlfn.MAXIFS(Detalle!$F$2:$F$687,Detalle!$A$2:$A$687,$A257,Detalle!$C$2:$C$687,$B257)</f>
        <v>159.25399999999999</v>
      </c>
    </row>
    <row r="258" spans="1:9" x14ac:dyDescent="0.25">
      <c r="A258" s="3">
        <v>12</v>
      </c>
      <c r="B258" s="3" t="s">
        <v>29</v>
      </c>
      <c r="C258" s="4">
        <f>COUNTIFS(Detalle!$A$2:$A$687,$A258,Detalle!$C$2:$C$687,$B258)</f>
        <v>1</v>
      </c>
      <c r="D258" s="5">
        <f>AVERAGEIFS(Detalle!$D$2:$D$687,Detalle!$A$2:$A$687,$A258,Detalle!$C$2:$C$687,$B258)</f>
        <v>0.88800000000000001</v>
      </c>
      <c r="E258" s="5">
        <f>_xlfn.MINIFS(Detalle!$D$2:$D$687,Detalle!$A$2:$A$687,$A258,Detalle!$C$2:$C$687,$B258)</f>
        <v>0.88800000000000001</v>
      </c>
      <c r="F258" s="5">
        <f>_xlfn.MAXIFS(Detalle!$D$2:$D$687,Detalle!$A$2:$A$687,$A258,Detalle!$C$2:$C$687,$B258)</f>
        <v>0.88800000000000001</v>
      </c>
      <c r="G258" s="5">
        <f>AVERAGEIFS(Detalle!$F$2:$F$687,Detalle!$A$2:$A$687,$A258,Detalle!$C$2:$C$687,$B258)</f>
        <v>160.226</v>
      </c>
      <c r="H258" s="5">
        <f>_xlfn.MINIFS(Detalle!$F$2:$F$687,Detalle!$A$2:$A$687,$A258,Detalle!$C$2:$C$687,$B258)</f>
        <v>160.226</v>
      </c>
      <c r="I258" s="5">
        <f>_xlfn.MAXIFS(Detalle!$F$2:$F$687,Detalle!$A$2:$A$687,$A258,Detalle!$C$2:$C$687,$B258)</f>
        <v>160.226</v>
      </c>
    </row>
    <row r="259" spans="1:9" x14ac:dyDescent="0.25">
      <c r="A259" s="3">
        <v>12</v>
      </c>
      <c r="B259" s="3" t="s">
        <v>22</v>
      </c>
      <c r="C259" s="4">
        <f>COUNTIFS(Detalle!$A$2:$A$687,$A259,Detalle!$C$2:$C$687,$B259)</f>
        <v>1</v>
      </c>
      <c r="D259" s="5">
        <f>AVERAGEIFS(Detalle!$D$2:$D$687,Detalle!$A$2:$A$687,$A259,Detalle!$C$2:$C$687,$B259)</f>
        <v>0.88200000000000001</v>
      </c>
      <c r="E259" s="5">
        <f>_xlfn.MINIFS(Detalle!$D$2:$D$687,Detalle!$A$2:$A$687,$A259,Detalle!$C$2:$C$687,$B259)</f>
        <v>0.88200000000000001</v>
      </c>
      <c r="F259" s="5">
        <f>_xlfn.MAXIFS(Detalle!$D$2:$D$687,Detalle!$A$2:$A$687,$A259,Detalle!$C$2:$C$687,$B259)</f>
        <v>0.88200000000000001</v>
      </c>
      <c r="G259" s="5">
        <f>AVERAGEIFS(Detalle!$F$2:$F$687,Detalle!$A$2:$A$687,$A259,Detalle!$C$2:$C$687,$B259)</f>
        <v>144.37899999999999</v>
      </c>
      <c r="H259" s="5">
        <f>_xlfn.MINIFS(Detalle!$F$2:$F$687,Detalle!$A$2:$A$687,$A259,Detalle!$C$2:$C$687,$B259)</f>
        <v>144.37899999999999</v>
      </c>
      <c r="I259" s="5">
        <f>_xlfn.MAXIFS(Detalle!$F$2:$F$687,Detalle!$A$2:$A$687,$A259,Detalle!$C$2:$C$687,$B259)</f>
        <v>144.37899999999999</v>
      </c>
    </row>
    <row r="260" spans="1:9" x14ac:dyDescent="0.25">
      <c r="A260" s="3">
        <v>12</v>
      </c>
      <c r="B260" s="3" t="s">
        <v>26</v>
      </c>
      <c r="C260" s="4">
        <f>COUNTIFS(Detalle!$A$2:$A$687,$A260,Detalle!$C$2:$C$687,$B260)</f>
        <v>2</v>
      </c>
      <c r="D260" s="5">
        <f>AVERAGEIFS(Detalle!$D$2:$D$687,Detalle!$A$2:$A$687,$A260,Detalle!$C$2:$C$687,$B260)</f>
        <v>0.83050000000000002</v>
      </c>
      <c r="E260" s="5">
        <f>_xlfn.MINIFS(Detalle!$D$2:$D$687,Detalle!$A$2:$A$687,$A260,Detalle!$C$2:$C$687,$B260)</f>
        <v>0.77900000000000003</v>
      </c>
      <c r="F260" s="5">
        <f>_xlfn.MAXIFS(Detalle!$D$2:$D$687,Detalle!$A$2:$A$687,$A260,Detalle!$C$2:$C$687,$B260)</f>
        <v>0.88200000000000001</v>
      </c>
      <c r="G260" s="5">
        <f>AVERAGEIFS(Detalle!$F$2:$F$687,Detalle!$A$2:$A$687,$A260,Detalle!$C$2:$C$687,$B260)</f>
        <v>120.11199999999999</v>
      </c>
      <c r="H260" s="5">
        <f>_xlfn.MINIFS(Detalle!$F$2:$F$687,Detalle!$A$2:$A$687,$A260,Detalle!$C$2:$C$687,$B260)</f>
        <v>107.985</v>
      </c>
      <c r="I260" s="5">
        <f>_xlfn.MAXIFS(Detalle!$F$2:$F$687,Detalle!$A$2:$A$687,$A260,Detalle!$C$2:$C$687,$B260)</f>
        <v>132.239</v>
      </c>
    </row>
    <row r="261" spans="1:9" x14ac:dyDescent="0.25">
      <c r="A261" s="3">
        <v>12</v>
      </c>
      <c r="B261" s="3" t="s">
        <v>33</v>
      </c>
      <c r="C261" s="4">
        <f>COUNTIFS(Detalle!$A$2:$A$687,$A261,Detalle!$C$2:$C$687,$B261)</f>
        <v>2</v>
      </c>
      <c r="D261" s="5">
        <f>AVERAGEIFS(Detalle!$D$2:$D$687,Detalle!$A$2:$A$687,$A261,Detalle!$C$2:$C$687,$B261)</f>
        <v>0.85299999999999998</v>
      </c>
      <c r="E261" s="5">
        <f>_xlfn.MINIFS(Detalle!$D$2:$D$687,Detalle!$A$2:$A$687,$A261,Detalle!$C$2:$C$687,$B261)</f>
        <v>0.84599999999999997</v>
      </c>
      <c r="F261" s="5">
        <f>_xlfn.MAXIFS(Detalle!$D$2:$D$687,Detalle!$A$2:$A$687,$A261,Detalle!$C$2:$C$687,$B261)</f>
        <v>0.86</v>
      </c>
      <c r="G261" s="5">
        <f>AVERAGEIFS(Detalle!$F$2:$F$687,Detalle!$A$2:$A$687,$A261,Detalle!$C$2:$C$687,$B261)</f>
        <v>149.3005</v>
      </c>
      <c r="H261" s="5">
        <f>_xlfn.MINIFS(Detalle!$F$2:$F$687,Detalle!$A$2:$A$687,$A261,Detalle!$C$2:$C$687,$B261)</f>
        <v>135.524</v>
      </c>
      <c r="I261" s="5">
        <f>_xlfn.MAXIFS(Detalle!$F$2:$F$687,Detalle!$A$2:$A$687,$A261,Detalle!$C$2:$C$687,$B261)</f>
        <v>163.077</v>
      </c>
    </row>
    <row r="262" spans="1:9" x14ac:dyDescent="0.25">
      <c r="A262" s="3">
        <v>12</v>
      </c>
      <c r="B262" s="3" t="s">
        <v>30</v>
      </c>
      <c r="C262" s="4">
        <f>COUNTIFS(Detalle!$A$2:$A$687,$A262,Detalle!$C$2:$C$687,$B262)</f>
        <v>1</v>
      </c>
      <c r="D262" s="5">
        <f>AVERAGEIFS(Detalle!$D$2:$D$687,Detalle!$A$2:$A$687,$A262,Detalle!$C$2:$C$687,$B262)</f>
        <v>0.94299999999999995</v>
      </c>
      <c r="E262" s="5">
        <f>_xlfn.MINIFS(Detalle!$D$2:$D$687,Detalle!$A$2:$A$687,$A262,Detalle!$C$2:$C$687,$B262)</f>
        <v>0.94299999999999995</v>
      </c>
      <c r="F262" s="5">
        <f>_xlfn.MAXIFS(Detalle!$D$2:$D$687,Detalle!$A$2:$A$687,$A262,Detalle!$C$2:$C$687,$B262)</f>
        <v>0.94299999999999995</v>
      </c>
      <c r="G262" s="5">
        <f>AVERAGEIFS(Detalle!$F$2:$F$687,Detalle!$A$2:$A$687,$A262,Detalle!$C$2:$C$687,$B262)</f>
        <v>103.51600000000001</v>
      </c>
      <c r="H262" s="5">
        <f>_xlfn.MINIFS(Detalle!$F$2:$F$687,Detalle!$A$2:$A$687,$A262,Detalle!$C$2:$C$687,$B262)</f>
        <v>103.51600000000001</v>
      </c>
      <c r="I262" s="5">
        <f>_xlfn.MAXIFS(Detalle!$F$2:$F$687,Detalle!$A$2:$A$687,$A262,Detalle!$C$2:$C$687,$B262)</f>
        <v>103.51600000000001</v>
      </c>
    </row>
    <row r="263" spans="1:9" x14ac:dyDescent="0.25">
      <c r="A263" s="3">
        <v>12</v>
      </c>
      <c r="B263" s="3" t="s">
        <v>27</v>
      </c>
      <c r="C263" s="4">
        <f>COUNTIFS(Detalle!$A$2:$A$687,$A263,Detalle!$C$2:$C$687,$B263)</f>
        <v>1</v>
      </c>
      <c r="D263" s="5">
        <f>AVERAGEIFS(Detalle!$D$2:$D$687,Detalle!$A$2:$A$687,$A263,Detalle!$C$2:$C$687,$B263)</f>
        <v>0.86699999999999999</v>
      </c>
      <c r="E263" s="5">
        <f>_xlfn.MINIFS(Detalle!$D$2:$D$687,Detalle!$A$2:$A$687,$A263,Detalle!$C$2:$C$687,$B263)</f>
        <v>0.86699999999999999</v>
      </c>
      <c r="F263" s="5">
        <f>_xlfn.MAXIFS(Detalle!$D$2:$D$687,Detalle!$A$2:$A$687,$A263,Detalle!$C$2:$C$687,$B263)</f>
        <v>0.86699999999999999</v>
      </c>
      <c r="G263" s="5">
        <f>AVERAGEIFS(Detalle!$F$2:$F$687,Detalle!$A$2:$A$687,$A263,Detalle!$C$2:$C$687,$B263)</f>
        <v>146.261</v>
      </c>
      <c r="H263" s="5">
        <f>_xlfn.MINIFS(Detalle!$F$2:$F$687,Detalle!$A$2:$A$687,$A263,Detalle!$C$2:$C$687,$B263)</f>
        <v>146.261</v>
      </c>
      <c r="I263" s="5">
        <f>_xlfn.MAXIFS(Detalle!$F$2:$F$687,Detalle!$A$2:$A$687,$A263,Detalle!$C$2:$C$687,$B263)</f>
        <v>146.261</v>
      </c>
    </row>
    <row r="264" spans="1:9" x14ac:dyDescent="0.25">
      <c r="A264" s="3">
        <v>12</v>
      </c>
      <c r="B264" s="3" t="s">
        <v>32</v>
      </c>
      <c r="C264" s="4">
        <f>COUNTIFS(Detalle!$A$2:$A$687,$A264,Detalle!$C$2:$C$687,$B264)</f>
        <v>1</v>
      </c>
      <c r="D264" s="5">
        <f>AVERAGEIFS(Detalle!$D$2:$D$687,Detalle!$A$2:$A$687,$A264,Detalle!$C$2:$C$687,$B264)</f>
        <v>0.80300000000000005</v>
      </c>
      <c r="E264" s="5">
        <f>_xlfn.MINIFS(Detalle!$D$2:$D$687,Detalle!$A$2:$A$687,$A264,Detalle!$C$2:$C$687,$B264)</f>
        <v>0.80300000000000005</v>
      </c>
      <c r="F264" s="5">
        <f>_xlfn.MAXIFS(Detalle!$D$2:$D$687,Detalle!$A$2:$A$687,$A264,Detalle!$C$2:$C$687,$B264)</f>
        <v>0.80300000000000005</v>
      </c>
      <c r="G264" s="5">
        <f>AVERAGEIFS(Detalle!$F$2:$F$687,Detalle!$A$2:$A$687,$A264,Detalle!$C$2:$C$687,$B264)</f>
        <v>142.548</v>
      </c>
      <c r="H264" s="5">
        <f>_xlfn.MINIFS(Detalle!$F$2:$F$687,Detalle!$A$2:$A$687,$A264,Detalle!$C$2:$C$687,$B264)</f>
        <v>142.548</v>
      </c>
      <c r="I264" s="5">
        <f>_xlfn.MAXIFS(Detalle!$F$2:$F$687,Detalle!$A$2:$A$687,$A264,Detalle!$C$2:$C$687,$B264)</f>
        <v>142.548</v>
      </c>
    </row>
    <row r="265" spans="1:9" x14ac:dyDescent="0.25">
      <c r="A265" s="3">
        <v>12</v>
      </c>
      <c r="B265" s="3" t="s">
        <v>24</v>
      </c>
      <c r="C265" s="4">
        <f>COUNTIFS(Detalle!$A$2:$A$687,$A265,Detalle!$C$2:$C$687,$B265)</f>
        <v>2</v>
      </c>
      <c r="D265" s="5">
        <f>AVERAGEIFS(Detalle!$D$2:$D$687,Detalle!$A$2:$A$687,$A265,Detalle!$C$2:$C$687,$B265)</f>
        <v>0.9405</v>
      </c>
      <c r="E265" s="5">
        <f>_xlfn.MINIFS(Detalle!$D$2:$D$687,Detalle!$A$2:$A$687,$A265,Detalle!$C$2:$C$687,$B265)</f>
        <v>0.91400000000000003</v>
      </c>
      <c r="F265" s="5">
        <f>_xlfn.MAXIFS(Detalle!$D$2:$D$687,Detalle!$A$2:$A$687,$A265,Detalle!$C$2:$C$687,$B265)</f>
        <v>0.96699999999999997</v>
      </c>
      <c r="G265" s="5">
        <f>AVERAGEIFS(Detalle!$F$2:$F$687,Detalle!$A$2:$A$687,$A265,Detalle!$C$2:$C$687,$B265)</f>
        <v>138.4845</v>
      </c>
      <c r="H265" s="5">
        <f>_xlfn.MINIFS(Detalle!$F$2:$F$687,Detalle!$A$2:$A$687,$A265,Detalle!$C$2:$C$687,$B265)</f>
        <v>113.056</v>
      </c>
      <c r="I265" s="5">
        <f>_xlfn.MAXIFS(Detalle!$F$2:$F$687,Detalle!$A$2:$A$687,$A265,Detalle!$C$2:$C$687,$B265)</f>
        <v>163.91300000000001</v>
      </c>
    </row>
    <row r="266" spans="1:9" x14ac:dyDescent="0.25">
      <c r="A266" s="3">
        <v>12</v>
      </c>
      <c r="B266" s="3" t="s">
        <v>39</v>
      </c>
      <c r="C266" s="4">
        <f>COUNTIFS(Detalle!$A$2:$A$687,$A266,Detalle!$C$2:$C$687,$B266)</f>
        <v>1</v>
      </c>
      <c r="D266" s="5">
        <f>AVERAGEIFS(Detalle!$D$2:$D$687,Detalle!$A$2:$A$687,$A266,Detalle!$C$2:$C$687,$B266)</f>
        <v>0.87</v>
      </c>
      <c r="E266" s="5">
        <f>_xlfn.MINIFS(Detalle!$D$2:$D$687,Detalle!$A$2:$A$687,$A266,Detalle!$C$2:$C$687,$B266)</f>
        <v>0.87</v>
      </c>
      <c r="F266" s="5">
        <f>_xlfn.MAXIFS(Detalle!$D$2:$D$687,Detalle!$A$2:$A$687,$A266,Detalle!$C$2:$C$687,$B266)</f>
        <v>0.87</v>
      </c>
      <c r="G266" s="5">
        <f>AVERAGEIFS(Detalle!$F$2:$F$687,Detalle!$A$2:$A$687,$A266,Detalle!$C$2:$C$687,$B266)</f>
        <v>140.036</v>
      </c>
      <c r="H266" s="5">
        <f>_xlfn.MINIFS(Detalle!$F$2:$F$687,Detalle!$A$2:$A$687,$A266,Detalle!$C$2:$C$687,$B266)</f>
        <v>140.036</v>
      </c>
      <c r="I266" s="5">
        <f>_xlfn.MAXIFS(Detalle!$F$2:$F$687,Detalle!$A$2:$A$687,$A266,Detalle!$C$2:$C$687,$B266)</f>
        <v>140.036</v>
      </c>
    </row>
    <row r="267" spans="1:9" x14ac:dyDescent="0.25">
      <c r="A267" s="3">
        <v>12</v>
      </c>
      <c r="B267" s="3" t="s">
        <v>19</v>
      </c>
      <c r="C267" s="4">
        <f>COUNTIFS(Detalle!$A$2:$A$687,$A267,Detalle!$C$2:$C$687,$B267)</f>
        <v>4</v>
      </c>
      <c r="D267" s="5">
        <f>AVERAGEIFS(Detalle!$D$2:$D$687,Detalle!$A$2:$A$687,$A267,Detalle!$C$2:$C$687,$B267)</f>
        <v>0.86799999999999999</v>
      </c>
      <c r="E267" s="5">
        <f>_xlfn.MINIFS(Detalle!$D$2:$D$687,Detalle!$A$2:$A$687,$A267,Detalle!$C$2:$C$687,$B267)</f>
        <v>0.82599999999999996</v>
      </c>
      <c r="F267" s="5">
        <f>_xlfn.MAXIFS(Detalle!$D$2:$D$687,Detalle!$A$2:$A$687,$A267,Detalle!$C$2:$C$687,$B267)</f>
        <v>0.92400000000000004</v>
      </c>
      <c r="G267" s="5">
        <f>AVERAGEIFS(Detalle!$F$2:$F$687,Detalle!$A$2:$A$687,$A267,Detalle!$C$2:$C$687,$B267)</f>
        <v>127.47475</v>
      </c>
      <c r="H267" s="5">
        <f>_xlfn.MINIFS(Detalle!$F$2:$F$687,Detalle!$A$2:$A$687,$A267,Detalle!$C$2:$C$687,$B267)</f>
        <v>105.405</v>
      </c>
      <c r="I267" s="5">
        <f>_xlfn.MAXIFS(Detalle!$F$2:$F$687,Detalle!$A$2:$A$687,$A267,Detalle!$C$2:$C$687,$B267)</f>
        <v>146.251</v>
      </c>
    </row>
    <row r="268" spans="1:9" x14ac:dyDescent="0.25">
      <c r="A268" s="3">
        <v>12</v>
      </c>
      <c r="B268" s="3" t="s">
        <v>11</v>
      </c>
      <c r="C268" s="4">
        <f>COUNTIFS(Detalle!$A$2:$A$687,$A268,Detalle!$C$2:$C$687,$B268)</f>
        <v>1</v>
      </c>
      <c r="D268" s="5">
        <f>AVERAGEIFS(Detalle!$D$2:$D$687,Detalle!$A$2:$A$687,$A268,Detalle!$C$2:$C$687,$B268)</f>
        <v>0.77600000000000002</v>
      </c>
      <c r="E268" s="5">
        <f>_xlfn.MINIFS(Detalle!$D$2:$D$687,Detalle!$A$2:$A$687,$A268,Detalle!$C$2:$C$687,$B268)</f>
        <v>0.77600000000000002</v>
      </c>
      <c r="F268" s="5">
        <f>_xlfn.MAXIFS(Detalle!$D$2:$D$687,Detalle!$A$2:$A$687,$A268,Detalle!$C$2:$C$687,$B268)</f>
        <v>0.77600000000000002</v>
      </c>
      <c r="G268" s="5">
        <f>AVERAGEIFS(Detalle!$F$2:$F$687,Detalle!$A$2:$A$687,$A268,Detalle!$C$2:$C$687,$B268)</f>
        <v>179.13300000000001</v>
      </c>
      <c r="H268" s="5">
        <f>_xlfn.MINIFS(Detalle!$F$2:$F$687,Detalle!$A$2:$A$687,$A268,Detalle!$C$2:$C$687,$B268)</f>
        <v>179.13300000000001</v>
      </c>
      <c r="I268" s="5">
        <f>_xlfn.MAXIFS(Detalle!$F$2:$F$687,Detalle!$A$2:$A$687,$A268,Detalle!$C$2:$C$687,$B268)</f>
        <v>179.13300000000001</v>
      </c>
    </row>
    <row r="269" spans="1:9" x14ac:dyDescent="0.25">
      <c r="A269" s="3">
        <v>12</v>
      </c>
      <c r="B269" s="3" t="s">
        <v>36</v>
      </c>
      <c r="C269" s="4">
        <f>COUNTIFS(Detalle!$A$2:$A$687,$A269,Detalle!$C$2:$C$687,$B269)</f>
        <v>3</v>
      </c>
      <c r="D269" s="5">
        <f>AVERAGEIFS(Detalle!$D$2:$D$687,Detalle!$A$2:$A$687,$A269,Detalle!$C$2:$C$687,$B269)</f>
        <v>0.88666666666666671</v>
      </c>
      <c r="E269" s="5">
        <f>_xlfn.MINIFS(Detalle!$D$2:$D$687,Detalle!$A$2:$A$687,$A269,Detalle!$C$2:$C$687,$B269)</f>
        <v>0.86499999999999999</v>
      </c>
      <c r="F269" s="5">
        <f>_xlfn.MAXIFS(Detalle!$D$2:$D$687,Detalle!$A$2:$A$687,$A269,Detalle!$C$2:$C$687,$B269)</f>
        <v>0.90700000000000003</v>
      </c>
      <c r="G269" s="5">
        <f>AVERAGEIFS(Detalle!$F$2:$F$687,Detalle!$A$2:$A$687,$A269,Detalle!$C$2:$C$687,$B269)</f>
        <v>135.03266666666664</v>
      </c>
      <c r="H269" s="5">
        <f>_xlfn.MINIFS(Detalle!$F$2:$F$687,Detalle!$A$2:$A$687,$A269,Detalle!$C$2:$C$687,$B269)</f>
        <v>125.64400000000001</v>
      </c>
      <c r="I269" s="5">
        <f>_xlfn.MAXIFS(Detalle!$F$2:$F$687,Detalle!$A$2:$A$687,$A269,Detalle!$C$2:$C$687,$B269)</f>
        <v>146.94399999999999</v>
      </c>
    </row>
    <row r="270" spans="1:9" x14ac:dyDescent="0.25">
      <c r="A270" s="3">
        <v>12</v>
      </c>
      <c r="B270" s="3" t="s">
        <v>15</v>
      </c>
      <c r="C270" s="4">
        <f>COUNTIFS(Detalle!$A$2:$A$687,$A270,Detalle!$C$2:$C$687,$B270)</f>
        <v>2</v>
      </c>
      <c r="D270" s="5">
        <f>AVERAGEIFS(Detalle!$D$2:$D$687,Detalle!$A$2:$A$687,$A270,Detalle!$C$2:$C$687,$B270)</f>
        <v>0.87850000000000006</v>
      </c>
      <c r="E270" s="5">
        <f>_xlfn.MINIFS(Detalle!$D$2:$D$687,Detalle!$A$2:$A$687,$A270,Detalle!$C$2:$C$687,$B270)</f>
        <v>0.875</v>
      </c>
      <c r="F270" s="5">
        <f>_xlfn.MAXIFS(Detalle!$D$2:$D$687,Detalle!$A$2:$A$687,$A270,Detalle!$C$2:$C$687,$B270)</f>
        <v>0.88200000000000001</v>
      </c>
      <c r="G270" s="5">
        <f>AVERAGEIFS(Detalle!$F$2:$F$687,Detalle!$A$2:$A$687,$A270,Detalle!$C$2:$C$687,$B270)</f>
        <v>133.31299999999999</v>
      </c>
      <c r="H270" s="5">
        <f>_xlfn.MINIFS(Detalle!$F$2:$F$687,Detalle!$A$2:$A$687,$A270,Detalle!$C$2:$C$687,$B270)</f>
        <v>129.64400000000001</v>
      </c>
      <c r="I270" s="5">
        <f>_xlfn.MAXIFS(Detalle!$F$2:$F$687,Detalle!$A$2:$A$687,$A270,Detalle!$C$2:$C$687,$B270)</f>
        <v>136.982</v>
      </c>
    </row>
    <row r="271" spans="1:9" x14ac:dyDescent="0.25">
      <c r="A271" s="3">
        <v>12</v>
      </c>
      <c r="B271" s="3" t="s">
        <v>18</v>
      </c>
      <c r="C271" s="4">
        <f>COUNTIFS(Detalle!$A$2:$A$687,$A271,Detalle!$C$2:$C$687,$B271)</f>
        <v>2</v>
      </c>
      <c r="D271" s="5">
        <f>AVERAGEIFS(Detalle!$D$2:$D$687,Detalle!$A$2:$A$687,$A271,Detalle!$C$2:$C$687,$B271)</f>
        <v>0.89549999999999996</v>
      </c>
      <c r="E271" s="5">
        <f>_xlfn.MINIFS(Detalle!$D$2:$D$687,Detalle!$A$2:$A$687,$A271,Detalle!$C$2:$C$687,$B271)</f>
        <v>0.89100000000000001</v>
      </c>
      <c r="F271" s="5">
        <f>_xlfn.MAXIFS(Detalle!$D$2:$D$687,Detalle!$A$2:$A$687,$A271,Detalle!$C$2:$C$687,$B271)</f>
        <v>0.9</v>
      </c>
      <c r="G271" s="5">
        <f>AVERAGEIFS(Detalle!$F$2:$F$687,Detalle!$A$2:$A$687,$A271,Detalle!$C$2:$C$687,$B271)</f>
        <v>132.035</v>
      </c>
      <c r="H271" s="5">
        <f>_xlfn.MINIFS(Detalle!$F$2:$F$687,Detalle!$A$2:$A$687,$A271,Detalle!$C$2:$C$687,$B271)</f>
        <v>129.61699999999999</v>
      </c>
      <c r="I271" s="5">
        <f>_xlfn.MAXIFS(Detalle!$F$2:$F$687,Detalle!$A$2:$A$687,$A271,Detalle!$C$2:$C$687,$B271)</f>
        <v>134.453</v>
      </c>
    </row>
    <row r="272" spans="1:9" x14ac:dyDescent="0.25">
      <c r="A272" s="3">
        <v>12</v>
      </c>
      <c r="B272" s="3" t="s">
        <v>16</v>
      </c>
      <c r="C272" s="4">
        <f>COUNTIFS(Detalle!$A$2:$A$687,$A272,Detalle!$C$2:$C$687,$B272)</f>
        <v>1</v>
      </c>
      <c r="D272" s="5">
        <f>AVERAGEIFS(Detalle!$D$2:$D$687,Detalle!$A$2:$A$687,$A272,Detalle!$C$2:$C$687,$B272)</f>
        <v>0.84099999999999997</v>
      </c>
      <c r="E272" s="5">
        <f>_xlfn.MINIFS(Detalle!$D$2:$D$687,Detalle!$A$2:$A$687,$A272,Detalle!$C$2:$C$687,$B272)</f>
        <v>0.84099999999999997</v>
      </c>
      <c r="F272" s="5">
        <f>_xlfn.MAXIFS(Detalle!$D$2:$D$687,Detalle!$A$2:$A$687,$A272,Detalle!$C$2:$C$687,$B272)</f>
        <v>0.84099999999999997</v>
      </c>
      <c r="G272" s="5">
        <f>AVERAGEIFS(Detalle!$F$2:$F$687,Detalle!$A$2:$A$687,$A272,Detalle!$C$2:$C$687,$B272)</f>
        <v>164.24</v>
      </c>
      <c r="H272" s="5">
        <f>_xlfn.MINIFS(Detalle!$F$2:$F$687,Detalle!$A$2:$A$687,$A272,Detalle!$C$2:$C$687,$B272)</f>
        <v>164.24</v>
      </c>
      <c r="I272" s="5">
        <f>_xlfn.MAXIFS(Detalle!$F$2:$F$687,Detalle!$A$2:$A$687,$A272,Detalle!$C$2:$C$687,$B272)</f>
        <v>164.24</v>
      </c>
    </row>
    <row r="273" spans="1:9" x14ac:dyDescent="0.25">
      <c r="A273" s="3">
        <v>12</v>
      </c>
      <c r="B273" s="3" t="s">
        <v>13</v>
      </c>
      <c r="C273" s="4">
        <f>COUNTIFS(Detalle!$A$2:$A$687,$A273,Detalle!$C$2:$C$687,$B273)</f>
        <v>3</v>
      </c>
      <c r="D273" s="5">
        <f>AVERAGEIFS(Detalle!$D$2:$D$687,Detalle!$A$2:$A$687,$A273,Detalle!$C$2:$C$687,$B273)</f>
        <v>0.90766666666666662</v>
      </c>
      <c r="E273" s="5">
        <f>_xlfn.MINIFS(Detalle!$D$2:$D$687,Detalle!$A$2:$A$687,$A273,Detalle!$C$2:$C$687,$B273)</f>
        <v>0.88100000000000001</v>
      </c>
      <c r="F273" s="5">
        <f>_xlfn.MAXIFS(Detalle!$D$2:$D$687,Detalle!$A$2:$A$687,$A273,Detalle!$C$2:$C$687,$B273)</f>
        <v>0.92200000000000004</v>
      </c>
      <c r="G273" s="5">
        <f>AVERAGEIFS(Detalle!$F$2:$F$687,Detalle!$A$2:$A$687,$A273,Detalle!$C$2:$C$687,$B273)</f>
        <v>110.18933333333335</v>
      </c>
      <c r="H273" s="5">
        <f>_xlfn.MINIFS(Detalle!$F$2:$F$687,Detalle!$A$2:$A$687,$A273,Detalle!$C$2:$C$687,$B273)</f>
        <v>98.132000000000005</v>
      </c>
      <c r="I273" s="5">
        <f>_xlfn.MAXIFS(Detalle!$F$2:$F$687,Detalle!$A$2:$A$687,$A273,Detalle!$C$2:$C$687,$B273)</f>
        <v>118.069</v>
      </c>
    </row>
    <row r="274" spans="1:9" x14ac:dyDescent="0.25">
      <c r="A274" s="3">
        <v>12</v>
      </c>
      <c r="B274" s="3" t="s">
        <v>28</v>
      </c>
      <c r="C274" s="4">
        <f>COUNTIFS(Detalle!$A$2:$A$687,$A274,Detalle!$C$2:$C$687,$B274)</f>
        <v>4</v>
      </c>
      <c r="D274" s="5">
        <f>AVERAGEIFS(Detalle!$D$2:$D$687,Detalle!$A$2:$A$687,$A274,Detalle!$C$2:$C$687,$B274)</f>
        <v>0.86725000000000008</v>
      </c>
      <c r="E274" s="5">
        <f>_xlfn.MINIFS(Detalle!$D$2:$D$687,Detalle!$A$2:$A$687,$A274,Detalle!$C$2:$C$687,$B274)</f>
        <v>0.83699999999999997</v>
      </c>
      <c r="F274" s="5">
        <f>_xlfn.MAXIFS(Detalle!$D$2:$D$687,Detalle!$A$2:$A$687,$A274,Detalle!$C$2:$C$687,$B274)</f>
        <v>0.90100000000000002</v>
      </c>
      <c r="G274" s="5">
        <f>AVERAGEIFS(Detalle!$F$2:$F$687,Detalle!$A$2:$A$687,$A274,Detalle!$C$2:$C$687,$B274)</f>
        <v>120.98750000000001</v>
      </c>
      <c r="H274" s="5">
        <f>_xlfn.MINIFS(Detalle!$F$2:$F$687,Detalle!$A$2:$A$687,$A274,Detalle!$C$2:$C$687,$B274)</f>
        <v>103.456</v>
      </c>
      <c r="I274" s="5">
        <f>_xlfn.MAXIFS(Detalle!$F$2:$F$687,Detalle!$A$2:$A$687,$A274,Detalle!$C$2:$C$687,$B274)</f>
        <v>151.21700000000001</v>
      </c>
    </row>
    <row r="275" spans="1:9" x14ac:dyDescent="0.25">
      <c r="A275" s="3">
        <v>12</v>
      </c>
      <c r="B275" s="3" t="s">
        <v>37</v>
      </c>
      <c r="C275" s="4">
        <f>COUNTIFS(Detalle!$A$2:$A$687,$A275,Detalle!$C$2:$C$687,$B275)</f>
        <v>2</v>
      </c>
      <c r="D275" s="5">
        <f>AVERAGEIFS(Detalle!$D$2:$D$687,Detalle!$A$2:$A$687,$A275,Detalle!$C$2:$C$687,$B275)</f>
        <v>0.91650000000000009</v>
      </c>
      <c r="E275" s="5">
        <f>_xlfn.MINIFS(Detalle!$D$2:$D$687,Detalle!$A$2:$A$687,$A275,Detalle!$C$2:$C$687,$B275)</f>
        <v>0.91400000000000003</v>
      </c>
      <c r="F275" s="5">
        <f>_xlfn.MAXIFS(Detalle!$D$2:$D$687,Detalle!$A$2:$A$687,$A275,Detalle!$C$2:$C$687,$B275)</f>
        <v>0.91900000000000004</v>
      </c>
      <c r="G275" s="5">
        <f>AVERAGEIFS(Detalle!$F$2:$F$687,Detalle!$A$2:$A$687,$A275,Detalle!$C$2:$C$687,$B275)</f>
        <v>148.05950000000001</v>
      </c>
      <c r="H275" s="5">
        <f>_xlfn.MINIFS(Detalle!$F$2:$F$687,Detalle!$A$2:$A$687,$A275,Detalle!$C$2:$C$687,$B275)</f>
        <v>135.22999999999999</v>
      </c>
      <c r="I275" s="5">
        <f>_xlfn.MAXIFS(Detalle!$F$2:$F$687,Detalle!$A$2:$A$687,$A275,Detalle!$C$2:$C$687,$B275)</f>
        <v>160.88900000000001</v>
      </c>
    </row>
    <row r="276" spans="1:9" x14ac:dyDescent="0.25">
      <c r="A276" s="3">
        <v>12</v>
      </c>
      <c r="B276" s="3" t="s">
        <v>20</v>
      </c>
      <c r="C276" s="4">
        <f>COUNTIFS(Detalle!$A$2:$A$687,$A276,Detalle!$C$2:$C$687,$B276)</f>
        <v>2</v>
      </c>
      <c r="D276" s="5">
        <f>AVERAGEIFS(Detalle!$D$2:$D$687,Detalle!$A$2:$A$687,$A276,Detalle!$C$2:$C$687,$B276)</f>
        <v>0.89600000000000002</v>
      </c>
      <c r="E276" s="5">
        <f>_xlfn.MINIFS(Detalle!$D$2:$D$687,Detalle!$A$2:$A$687,$A276,Detalle!$C$2:$C$687,$B276)</f>
        <v>0.86499999999999999</v>
      </c>
      <c r="F276" s="5">
        <f>_xlfn.MAXIFS(Detalle!$D$2:$D$687,Detalle!$A$2:$A$687,$A276,Detalle!$C$2:$C$687,$B276)</f>
        <v>0.92700000000000005</v>
      </c>
      <c r="G276" s="5">
        <f>AVERAGEIFS(Detalle!$F$2:$F$687,Detalle!$A$2:$A$687,$A276,Detalle!$C$2:$C$687,$B276)</f>
        <v>163.15449999999998</v>
      </c>
      <c r="H276" s="5">
        <f>_xlfn.MINIFS(Detalle!$F$2:$F$687,Detalle!$A$2:$A$687,$A276,Detalle!$C$2:$C$687,$B276)</f>
        <v>141.73699999999999</v>
      </c>
      <c r="I276" s="5">
        <f>_xlfn.MAXIFS(Detalle!$F$2:$F$687,Detalle!$A$2:$A$687,$A276,Detalle!$C$2:$C$687,$B276)</f>
        <v>184.572</v>
      </c>
    </row>
    <row r="277" spans="1:9" x14ac:dyDescent="0.25">
      <c r="A277" s="3">
        <v>13</v>
      </c>
      <c r="B277" s="3" t="s">
        <v>38</v>
      </c>
      <c r="C277" s="4">
        <f>COUNTIFS(Detalle!$A$2:$A$687,$A277,Detalle!$C$2:$C$687,$B277)</f>
        <v>3</v>
      </c>
      <c r="D277" s="5">
        <f>AVERAGEIFS(Detalle!$D$2:$D$687,Detalle!$A$2:$A$687,$A277,Detalle!$C$2:$C$687,$B277)</f>
        <v>0.92033333333333334</v>
      </c>
      <c r="E277" s="5">
        <f>_xlfn.MINIFS(Detalle!$D$2:$D$687,Detalle!$A$2:$A$687,$A277,Detalle!$C$2:$C$687,$B277)</f>
        <v>0.875</v>
      </c>
      <c r="F277" s="5">
        <f>_xlfn.MAXIFS(Detalle!$D$2:$D$687,Detalle!$A$2:$A$687,$A277,Detalle!$C$2:$C$687,$B277)</f>
        <v>0.96499999999999997</v>
      </c>
      <c r="G277" s="5">
        <f>AVERAGEIFS(Detalle!$F$2:$F$687,Detalle!$A$2:$A$687,$A277,Detalle!$C$2:$C$687,$B277)</f>
        <v>119.66033333333333</v>
      </c>
      <c r="H277" s="5">
        <f>_xlfn.MINIFS(Detalle!$F$2:$F$687,Detalle!$A$2:$A$687,$A277,Detalle!$C$2:$C$687,$B277)</f>
        <v>101.842</v>
      </c>
      <c r="I277" s="5">
        <f>_xlfn.MAXIFS(Detalle!$F$2:$F$687,Detalle!$A$2:$A$687,$A277,Detalle!$C$2:$C$687,$B277)</f>
        <v>141.74</v>
      </c>
    </row>
    <row r="278" spans="1:9" x14ac:dyDescent="0.25">
      <c r="A278" s="3">
        <v>13</v>
      </c>
      <c r="B278" s="3" t="s">
        <v>23</v>
      </c>
      <c r="C278" s="4">
        <f>COUNTIFS(Detalle!$A$2:$A$687,$A278,Detalle!$C$2:$C$687,$B278)</f>
        <v>1</v>
      </c>
      <c r="D278" s="5">
        <f>AVERAGEIFS(Detalle!$D$2:$D$687,Detalle!$A$2:$A$687,$A278,Detalle!$C$2:$C$687,$B278)</f>
        <v>0.93700000000000006</v>
      </c>
      <c r="E278" s="5">
        <f>_xlfn.MINIFS(Detalle!$D$2:$D$687,Detalle!$A$2:$A$687,$A278,Detalle!$C$2:$C$687,$B278)</f>
        <v>0.93700000000000006</v>
      </c>
      <c r="F278" s="5">
        <f>_xlfn.MAXIFS(Detalle!$D$2:$D$687,Detalle!$A$2:$A$687,$A278,Detalle!$C$2:$C$687,$B278)</f>
        <v>0.93700000000000006</v>
      </c>
      <c r="G278" s="5">
        <f>AVERAGEIFS(Detalle!$F$2:$F$687,Detalle!$A$2:$A$687,$A278,Detalle!$C$2:$C$687,$B278)</f>
        <v>109.452</v>
      </c>
      <c r="H278" s="5">
        <f>_xlfn.MINIFS(Detalle!$F$2:$F$687,Detalle!$A$2:$A$687,$A278,Detalle!$C$2:$C$687,$B278)</f>
        <v>109.452</v>
      </c>
      <c r="I278" s="5">
        <f>_xlfn.MAXIFS(Detalle!$F$2:$F$687,Detalle!$A$2:$A$687,$A278,Detalle!$C$2:$C$687,$B278)</f>
        <v>109.452</v>
      </c>
    </row>
    <row r="279" spans="1:9" x14ac:dyDescent="0.25">
      <c r="A279" s="3">
        <v>13</v>
      </c>
      <c r="B279" s="3" t="s">
        <v>25</v>
      </c>
      <c r="C279" s="4">
        <f>COUNTIFS(Detalle!$A$2:$A$687,$A279,Detalle!$C$2:$C$687,$B279)</f>
        <v>3</v>
      </c>
      <c r="D279" s="5">
        <f>AVERAGEIFS(Detalle!$D$2:$D$687,Detalle!$A$2:$A$687,$A279,Detalle!$C$2:$C$687,$B279)</f>
        <v>0.82033333333333325</v>
      </c>
      <c r="E279" s="5">
        <f>_xlfn.MINIFS(Detalle!$D$2:$D$687,Detalle!$A$2:$A$687,$A279,Detalle!$C$2:$C$687,$B279)</f>
        <v>0.755</v>
      </c>
      <c r="F279" s="5">
        <f>_xlfn.MAXIFS(Detalle!$D$2:$D$687,Detalle!$A$2:$A$687,$A279,Detalle!$C$2:$C$687,$B279)</f>
        <v>0.879</v>
      </c>
      <c r="G279" s="5">
        <f>AVERAGEIFS(Detalle!$F$2:$F$687,Detalle!$A$2:$A$687,$A279,Detalle!$C$2:$C$687,$B279)</f>
        <v>123.83233333333332</v>
      </c>
      <c r="H279" s="5">
        <f>_xlfn.MINIFS(Detalle!$F$2:$F$687,Detalle!$A$2:$A$687,$A279,Detalle!$C$2:$C$687,$B279)</f>
        <v>109.029</v>
      </c>
      <c r="I279" s="5">
        <f>_xlfn.MAXIFS(Detalle!$F$2:$F$687,Detalle!$A$2:$A$687,$A279,Detalle!$C$2:$C$687,$B279)</f>
        <v>135.184</v>
      </c>
    </row>
    <row r="280" spans="1:9" x14ac:dyDescent="0.25">
      <c r="A280" s="3">
        <v>13</v>
      </c>
      <c r="B280" s="3" t="s">
        <v>29</v>
      </c>
      <c r="C280" s="4">
        <f>COUNTIFS(Detalle!$A$2:$A$687,$A280,Detalle!$C$2:$C$687,$B280)</f>
        <v>2</v>
      </c>
      <c r="D280" s="5">
        <f>AVERAGEIFS(Detalle!$D$2:$D$687,Detalle!$A$2:$A$687,$A280,Detalle!$C$2:$C$687,$B280)</f>
        <v>0.8254999999999999</v>
      </c>
      <c r="E280" s="5">
        <f>_xlfn.MINIFS(Detalle!$D$2:$D$687,Detalle!$A$2:$A$687,$A280,Detalle!$C$2:$C$687,$B280)</f>
        <v>0.81299999999999994</v>
      </c>
      <c r="F280" s="5">
        <f>_xlfn.MAXIFS(Detalle!$D$2:$D$687,Detalle!$A$2:$A$687,$A280,Detalle!$C$2:$C$687,$B280)</f>
        <v>0.83799999999999997</v>
      </c>
      <c r="G280" s="5">
        <f>AVERAGEIFS(Detalle!$F$2:$F$687,Detalle!$A$2:$A$687,$A280,Detalle!$C$2:$C$687,$B280)</f>
        <v>148.7945</v>
      </c>
      <c r="H280" s="5">
        <f>_xlfn.MINIFS(Detalle!$F$2:$F$687,Detalle!$A$2:$A$687,$A280,Detalle!$C$2:$C$687,$B280)</f>
        <v>132.28399999999999</v>
      </c>
      <c r="I280" s="5">
        <f>_xlfn.MAXIFS(Detalle!$F$2:$F$687,Detalle!$A$2:$A$687,$A280,Detalle!$C$2:$C$687,$B280)</f>
        <v>165.30500000000001</v>
      </c>
    </row>
    <row r="281" spans="1:9" x14ac:dyDescent="0.25">
      <c r="A281" s="3">
        <v>13</v>
      </c>
      <c r="B281" s="3" t="s">
        <v>22</v>
      </c>
      <c r="C281" s="4">
        <f>COUNTIFS(Detalle!$A$2:$A$687,$A281,Detalle!$C$2:$C$687,$B281)</f>
        <v>2</v>
      </c>
      <c r="D281" s="5">
        <f>AVERAGEIFS(Detalle!$D$2:$D$687,Detalle!$A$2:$A$687,$A281,Detalle!$C$2:$C$687,$B281)</f>
        <v>0.85099999999999998</v>
      </c>
      <c r="E281" s="5">
        <f>_xlfn.MINIFS(Detalle!$D$2:$D$687,Detalle!$A$2:$A$687,$A281,Detalle!$C$2:$C$687,$B281)</f>
        <v>0.82599999999999996</v>
      </c>
      <c r="F281" s="5">
        <f>_xlfn.MAXIFS(Detalle!$D$2:$D$687,Detalle!$A$2:$A$687,$A281,Detalle!$C$2:$C$687,$B281)</f>
        <v>0.876</v>
      </c>
      <c r="G281" s="5">
        <f>AVERAGEIFS(Detalle!$F$2:$F$687,Detalle!$A$2:$A$687,$A281,Detalle!$C$2:$C$687,$B281)</f>
        <v>148.24850000000001</v>
      </c>
      <c r="H281" s="5">
        <f>_xlfn.MINIFS(Detalle!$F$2:$F$687,Detalle!$A$2:$A$687,$A281,Detalle!$C$2:$C$687,$B281)</f>
        <v>137.983</v>
      </c>
      <c r="I281" s="5">
        <f>_xlfn.MAXIFS(Detalle!$F$2:$F$687,Detalle!$A$2:$A$687,$A281,Detalle!$C$2:$C$687,$B281)</f>
        <v>158.51400000000001</v>
      </c>
    </row>
    <row r="282" spans="1:9" x14ac:dyDescent="0.25">
      <c r="A282" s="3">
        <v>13</v>
      </c>
      <c r="B282" s="3" t="s">
        <v>26</v>
      </c>
      <c r="C282" s="4">
        <f>COUNTIFS(Detalle!$A$2:$A$687,$A282,Detalle!$C$2:$C$687,$B282)</f>
        <v>1</v>
      </c>
      <c r="D282" s="5">
        <f>AVERAGEIFS(Detalle!$D$2:$D$687,Detalle!$A$2:$A$687,$A282,Detalle!$C$2:$C$687,$B282)</f>
        <v>0.82499999999999996</v>
      </c>
      <c r="E282" s="5">
        <f>_xlfn.MINIFS(Detalle!$D$2:$D$687,Detalle!$A$2:$A$687,$A282,Detalle!$C$2:$C$687,$B282)</f>
        <v>0.82499999999999996</v>
      </c>
      <c r="F282" s="5">
        <f>_xlfn.MAXIFS(Detalle!$D$2:$D$687,Detalle!$A$2:$A$687,$A282,Detalle!$C$2:$C$687,$B282)</f>
        <v>0.82499999999999996</v>
      </c>
      <c r="G282" s="5">
        <f>AVERAGEIFS(Detalle!$F$2:$F$687,Detalle!$A$2:$A$687,$A282,Detalle!$C$2:$C$687,$B282)</f>
        <v>111.529</v>
      </c>
      <c r="H282" s="5">
        <f>_xlfn.MINIFS(Detalle!$F$2:$F$687,Detalle!$A$2:$A$687,$A282,Detalle!$C$2:$C$687,$B282)</f>
        <v>111.529</v>
      </c>
      <c r="I282" s="5">
        <f>_xlfn.MAXIFS(Detalle!$F$2:$F$687,Detalle!$A$2:$A$687,$A282,Detalle!$C$2:$C$687,$B282)</f>
        <v>111.529</v>
      </c>
    </row>
    <row r="283" spans="1:9" x14ac:dyDescent="0.25">
      <c r="A283" s="3">
        <v>13</v>
      </c>
      <c r="B283" s="3" t="s">
        <v>33</v>
      </c>
      <c r="C283" s="4">
        <f>COUNTIFS(Detalle!$A$2:$A$687,$A283,Detalle!$C$2:$C$687,$B283)</f>
        <v>4</v>
      </c>
      <c r="D283" s="5">
        <f>AVERAGEIFS(Detalle!$D$2:$D$687,Detalle!$A$2:$A$687,$A283,Detalle!$C$2:$C$687,$B283)</f>
        <v>0.88425000000000009</v>
      </c>
      <c r="E283" s="5">
        <f>_xlfn.MINIFS(Detalle!$D$2:$D$687,Detalle!$A$2:$A$687,$A283,Detalle!$C$2:$C$687,$B283)</f>
        <v>0.83899999999999997</v>
      </c>
      <c r="F283" s="5">
        <f>_xlfn.MAXIFS(Detalle!$D$2:$D$687,Detalle!$A$2:$A$687,$A283,Detalle!$C$2:$C$687,$B283)</f>
        <v>0.92100000000000004</v>
      </c>
      <c r="G283" s="5">
        <f>AVERAGEIFS(Detalle!$F$2:$F$687,Detalle!$A$2:$A$687,$A283,Detalle!$C$2:$C$687,$B283)</f>
        <v>127.17725000000002</v>
      </c>
      <c r="H283" s="5">
        <f>_xlfn.MINIFS(Detalle!$F$2:$F$687,Detalle!$A$2:$A$687,$A283,Detalle!$C$2:$C$687,$B283)</f>
        <v>102.489</v>
      </c>
      <c r="I283" s="5">
        <f>_xlfn.MAXIFS(Detalle!$F$2:$F$687,Detalle!$A$2:$A$687,$A283,Detalle!$C$2:$C$687,$B283)</f>
        <v>151.56100000000001</v>
      </c>
    </row>
    <row r="284" spans="1:9" x14ac:dyDescent="0.25">
      <c r="A284" s="3">
        <v>13</v>
      </c>
      <c r="B284" s="3" t="s">
        <v>30</v>
      </c>
      <c r="C284" s="4">
        <f>COUNTIFS(Detalle!$A$2:$A$687,$A284,Detalle!$C$2:$C$687,$B284)</f>
        <v>3</v>
      </c>
      <c r="D284" s="5">
        <f>AVERAGEIFS(Detalle!$D$2:$D$687,Detalle!$A$2:$A$687,$A284,Detalle!$C$2:$C$687,$B284)</f>
        <v>0.83466666666666667</v>
      </c>
      <c r="E284" s="5">
        <f>_xlfn.MINIFS(Detalle!$D$2:$D$687,Detalle!$A$2:$A$687,$A284,Detalle!$C$2:$C$687,$B284)</f>
        <v>0.755</v>
      </c>
      <c r="F284" s="5">
        <f>_xlfn.MAXIFS(Detalle!$D$2:$D$687,Detalle!$A$2:$A$687,$A284,Detalle!$C$2:$C$687,$B284)</f>
        <v>0.88700000000000001</v>
      </c>
      <c r="G284" s="5">
        <f>AVERAGEIFS(Detalle!$F$2:$F$687,Detalle!$A$2:$A$687,$A284,Detalle!$C$2:$C$687,$B284)</f>
        <v>134.46366666666665</v>
      </c>
      <c r="H284" s="5">
        <f>_xlfn.MINIFS(Detalle!$F$2:$F$687,Detalle!$A$2:$A$687,$A284,Detalle!$C$2:$C$687,$B284)</f>
        <v>118.629</v>
      </c>
      <c r="I284" s="5">
        <f>_xlfn.MAXIFS(Detalle!$F$2:$F$687,Detalle!$A$2:$A$687,$A284,Detalle!$C$2:$C$687,$B284)</f>
        <v>161.21299999999999</v>
      </c>
    </row>
    <row r="285" spans="1:9" x14ac:dyDescent="0.25">
      <c r="A285" s="3">
        <v>13</v>
      </c>
      <c r="B285" s="3" t="s">
        <v>27</v>
      </c>
      <c r="C285" s="4">
        <f>COUNTIFS(Detalle!$A$2:$A$687,$A285,Detalle!$C$2:$C$687,$B285)</f>
        <v>1</v>
      </c>
      <c r="D285" s="5">
        <f>AVERAGEIFS(Detalle!$D$2:$D$687,Detalle!$A$2:$A$687,$A285,Detalle!$C$2:$C$687,$B285)</f>
        <v>0.86899999999999999</v>
      </c>
      <c r="E285" s="5">
        <f>_xlfn.MINIFS(Detalle!$D$2:$D$687,Detalle!$A$2:$A$687,$A285,Detalle!$C$2:$C$687,$B285)</f>
        <v>0.86899999999999999</v>
      </c>
      <c r="F285" s="5">
        <f>_xlfn.MAXIFS(Detalle!$D$2:$D$687,Detalle!$A$2:$A$687,$A285,Detalle!$C$2:$C$687,$B285)</f>
        <v>0.86899999999999999</v>
      </c>
      <c r="G285" s="5">
        <f>AVERAGEIFS(Detalle!$F$2:$F$687,Detalle!$A$2:$A$687,$A285,Detalle!$C$2:$C$687,$B285)</f>
        <v>127.869</v>
      </c>
      <c r="H285" s="5">
        <f>_xlfn.MINIFS(Detalle!$F$2:$F$687,Detalle!$A$2:$A$687,$A285,Detalle!$C$2:$C$687,$B285)</f>
        <v>127.869</v>
      </c>
      <c r="I285" s="5">
        <f>_xlfn.MAXIFS(Detalle!$F$2:$F$687,Detalle!$A$2:$A$687,$A285,Detalle!$C$2:$C$687,$B285)</f>
        <v>127.869</v>
      </c>
    </row>
    <row r="286" spans="1:9" x14ac:dyDescent="0.25">
      <c r="A286" s="3">
        <v>13</v>
      </c>
      <c r="B286" s="3" t="s">
        <v>32</v>
      </c>
      <c r="C286" s="4">
        <f>COUNTIFS(Detalle!$A$2:$A$687,$A286,Detalle!$C$2:$C$687,$B286)</f>
        <v>4</v>
      </c>
      <c r="D286" s="5">
        <f>AVERAGEIFS(Detalle!$D$2:$D$687,Detalle!$A$2:$A$687,$A286,Detalle!$C$2:$C$687,$B286)</f>
        <v>0.84699999999999998</v>
      </c>
      <c r="E286" s="5">
        <f>_xlfn.MINIFS(Detalle!$D$2:$D$687,Detalle!$A$2:$A$687,$A286,Detalle!$C$2:$C$687,$B286)</f>
        <v>0.78500000000000003</v>
      </c>
      <c r="F286" s="5">
        <f>_xlfn.MAXIFS(Detalle!$D$2:$D$687,Detalle!$A$2:$A$687,$A286,Detalle!$C$2:$C$687,$B286)</f>
        <v>0.88600000000000001</v>
      </c>
      <c r="G286" s="5">
        <f>AVERAGEIFS(Detalle!$F$2:$F$687,Detalle!$A$2:$A$687,$A286,Detalle!$C$2:$C$687,$B286)</f>
        <v>123.54925</v>
      </c>
      <c r="H286" s="5">
        <f>_xlfn.MINIFS(Detalle!$F$2:$F$687,Detalle!$A$2:$A$687,$A286,Detalle!$C$2:$C$687,$B286)</f>
        <v>118.14700000000001</v>
      </c>
      <c r="I286" s="5">
        <f>_xlfn.MAXIFS(Detalle!$F$2:$F$687,Detalle!$A$2:$A$687,$A286,Detalle!$C$2:$C$687,$B286)</f>
        <v>137.97999999999999</v>
      </c>
    </row>
    <row r="287" spans="1:9" x14ac:dyDescent="0.25">
      <c r="A287" s="3">
        <v>13</v>
      </c>
      <c r="B287" s="3" t="s">
        <v>24</v>
      </c>
      <c r="C287" s="4">
        <f>COUNTIFS(Detalle!$A$2:$A$687,$A287,Detalle!$C$2:$C$687,$B287)</f>
        <v>2</v>
      </c>
      <c r="D287" s="5">
        <f>AVERAGEIFS(Detalle!$D$2:$D$687,Detalle!$A$2:$A$687,$A287,Detalle!$C$2:$C$687,$B287)</f>
        <v>0.92300000000000004</v>
      </c>
      <c r="E287" s="5">
        <f>_xlfn.MINIFS(Detalle!$D$2:$D$687,Detalle!$A$2:$A$687,$A287,Detalle!$C$2:$C$687,$B287)</f>
        <v>0.90300000000000002</v>
      </c>
      <c r="F287" s="5">
        <f>_xlfn.MAXIFS(Detalle!$D$2:$D$687,Detalle!$A$2:$A$687,$A287,Detalle!$C$2:$C$687,$B287)</f>
        <v>0.94299999999999995</v>
      </c>
      <c r="G287" s="5">
        <f>AVERAGEIFS(Detalle!$F$2:$F$687,Detalle!$A$2:$A$687,$A287,Detalle!$C$2:$C$687,$B287)</f>
        <v>126.0025</v>
      </c>
      <c r="H287" s="5">
        <f>_xlfn.MINIFS(Detalle!$F$2:$F$687,Detalle!$A$2:$A$687,$A287,Detalle!$C$2:$C$687,$B287)</f>
        <v>118.84399999999999</v>
      </c>
      <c r="I287" s="5">
        <f>_xlfn.MAXIFS(Detalle!$F$2:$F$687,Detalle!$A$2:$A$687,$A287,Detalle!$C$2:$C$687,$B287)</f>
        <v>133.161</v>
      </c>
    </row>
    <row r="288" spans="1:9" x14ac:dyDescent="0.25">
      <c r="A288" s="3">
        <v>13</v>
      </c>
      <c r="B288" s="3" t="s">
        <v>39</v>
      </c>
      <c r="C288" s="4">
        <f>COUNTIFS(Detalle!$A$2:$A$687,$A288,Detalle!$C$2:$C$687,$B288)</f>
        <v>2</v>
      </c>
      <c r="D288" s="5">
        <f>AVERAGEIFS(Detalle!$D$2:$D$687,Detalle!$A$2:$A$687,$A288,Detalle!$C$2:$C$687,$B288)</f>
        <v>0.879</v>
      </c>
      <c r="E288" s="5">
        <f>_xlfn.MINIFS(Detalle!$D$2:$D$687,Detalle!$A$2:$A$687,$A288,Detalle!$C$2:$C$687,$B288)</f>
        <v>0.874</v>
      </c>
      <c r="F288" s="5">
        <f>_xlfn.MAXIFS(Detalle!$D$2:$D$687,Detalle!$A$2:$A$687,$A288,Detalle!$C$2:$C$687,$B288)</f>
        <v>0.88400000000000001</v>
      </c>
      <c r="G288" s="5">
        <f>AVERAGEIFS(Detalle!$F$2:$F$687,Detalle!$A$2:$A$687,$A288,Detalle!$C$2:$C$687,$B288)</f>
        <v>138.577</v>
      </c>
      <c r="H288" s="5">
        <f>_xlfn.MINIFS(Detalle!$F$2:$F$687,Detalle!$A$2:$A$687,$A288,Detalle!$C$2:$C$687,$B288)</f>
        <v>130.45400000000001</v>
      </c>
      <c r="I288" s="5">
        <f>_xlfn.MAXIFS(Detalle!$F$2:$F$687,Detalle!$A$2:$A$687,$A288,Detalle!$C$2:$C$687,$B288)</f>
        <v>146.69999999999999</v>
      </c>
    </row>
    <row r="289" spans="1:9" x14ac:dyDescent="0.25">
      <c r="A289" s="3">
        <v>13</v>
      </c>
      <c r="B289" s="3" t="s">
        <v>11</v>
      </c>
      <c r="C289" s="4">
        <f>COUNTIFS(Detalle!$A$2:$A$687,$A289,Detalle!$C$2:$C$687,$B289)</f>
        <v>4</v>
      </c>
      <c r="D289" s="5">
        <f>AVERAGEIFS(Detalle!$D$2:$D$687,Detalle!$A$2:$A$687,$A289,Detalle!$C$2:$C$687,$B289)</f>
        <v>0.82150000000000001</v>
      </c>
      <c r="E289" s="5">
        <f>_xlfn.MINIFS(Detalle!$D$2:$D$687,Detalle!$A$2:$A$687,$A289,Detalle!$C$2:$C$687,$B289)</f>
        <v>0.70099999999999996</v>
      </c>
      <c r="F289" s="5">
        <f>_xlfn.MAXIFS(Detalle!$D$2:$D$687,Detalle!$A$2:$A$687,$A289,Detalle!$C$2:$C$687,$B289)</f>
        <v>0.88</v>
      </c>
      <c r="G289" s="5">
        <f>AVERAGEIFS(Detalle!$F$2:$F$687,Detalle!$A$2:$A$687,$A289,Detalle!$C$2:$C$687,$B289)</f>
        <v>159.48250000000002</v>
      </c>
      <c r="H289" s="5">
        <f>_xlfn.MINIFS(Detalle!$F$2:$F$687,Detalle!$A$2:$A$687,$A289,Detalle!$C$2:$C$687,$B289)</f>
        <v>150.255</v>
      </c>
      <c r="I289" s="5">
        <f>_xlfn.MAXIFS(Detalle!$F$2:$F$687,Detalle!$A$2:$A$687,$A289,Detalle!$C$2:$C$687,$B289)</f>
        <v>172.50700000000001</v>
      </c>
    </row>
    <row r="290" spans="1:9" x14ac:dyDescent="0.25">
      <c r="A290" s="3">
        <v>13</v>
      </c>
      <c r="B290" s="3" t="s">
        <v>36</v>
      </c>
      <c r="C290" s="4">
        <f>COUNTIFS(Detalle!$A$2:$A$687,$A290,Detalle!$C$2:$C$687,$B290)</f>
        <v>5</v>
      </c>
      <c r="D290" s="5">
        <f>AVERAGEIFS(Detalle!$D$2:$D$687,Detalle!$A$2:$A$687,$A290,Detalle!$C$2:$C$687,$B290)</f>
        <v>0.88380000000000014</v>
      </c>
      <c r="E290" s="5">
        <f>_xlfn.MINIFS(Detalle!$D$2:$D$687,Detalle!$A$2:$A$687,$A290,Detalle!$C$2:$C$687,$B290)</f>
        <v>0.78300000000000003</v>
      </c>
      <c r="F290" s="5">
        <f>_xlfn.MAXIFS(Detalle!$D$2:$D$687,Detalle!$A$2:$A$687,$A290,Detalle!$C$2:$C$687,$B290)</f>
        <v>0.96099999999999997</v>
      </c>
      <c r="G290" s="5">
        <f>AVERAGEIFS(Detalle!$F$2:$F$687,Detalle!$A$2:$A$687,$A290,Detalle!$C$2:$C$687,$B290)</f>
        <v>125.28339999999999</v>
      </c>
      <c r="H290" s="5">
        <f>_xlfn.MINIFS(Detalle!$F$2:$F$687,Detalle!$A$2:$A$687,$A290,Detalle!$C$2:$C$687,$B290)</f>
        <v>105.002</v>
      </c>
      <c r="I290" s="5">
        <f>_xlfn.MAXIFS(Detalle!$F$2:$F$687,Detalle!$A$2:$A$687,$A290,Detalle!$C$2:$C$687,$B290)</f>
        <v>140.327</v>
      </c>
    </row>
    <row r="291" spans="1:9" x14ac:dyDescent="0.25">
      <c r="A291" s="3">
        <v>13</v>
      </c>
      <c r="B291" s="3" t="s">
        <v>15</v>
      </c>
      <c r="C291" s="4">
        <f>COUNTIFS(Detalle!$A$2:$A$687,$A291,Detalle!$C$2:$C$687,$B291)</f>
        <v>1</v>
      </c>
      <c r="D291" s="5">
        <f>AVERAGEIFS(Detalle!$D$2:$D$687,Detalle!$A$2:$A$687,$A291,Detalle!$C$2:$C$687,$B291)</f>
        <v>0.69</v>
      </c>
      <c r="E291" s="5">
        <f>_xlfn.MINIFS(Detalle!$D$2:$D$687,Detalle!$A$2:$A$687,$A291,Detalle!$C$2:$C$687,$B291)</f>
        <v>0.69</v>
      </c>
      <c r="F291" s="5">
        <f>_xlfn.MAXIFS(Detalle!$D$2:$D$687,Detalle!$A$2:$A$687,$A291,Detalle!$C$2:$C$687,$B291)</f>
        <v>0.69</v>
      </c>
      <c r="G291" s="5">
        <f>AVERAGEIFS(Detalle!$F$2:$F$687,Detalle!$A$2:$A$687,$A291,Detalle!$C$2:$C$687,$B291)</f>
        <v>125.82899999999999</v>
      </c>
      <c r="H291" s="5">
        <f>_xlfn.MINIFS(Detalle!$F$2:$F$687,Detalle!$A$2:$A$687,$A291,Detalle!$C$2:$C$687,$B291)</f>
        <v>125.82899999999999</v>
      </c>
      <c r="I291" s="5">
        <f>_xlfn.MAXIFS(Detalle!$F$2:$F$687,Detalle!$A$2:$A$687,$A291,Detalle!$C$2:$C$687,$B291)</f>
        <v>125.82899999999999</v>
      </c>
    </row>
    <row r="292" spans="1:9" x14ac:dyDescent="0.25">
      <c r="A292" s="3">
        <v>13</v>
      </c>
      <c r="B292" s="3" t="s">
        <v>18</v>
      </c>
      <c r="C292" s="4">
        <f>COUNTIFS(Detalle!$A$2:$A$687,$A292,Detalle!$C$2:$C$687,$B292)</f>
        <v>2</v>
      </c>
      <c r="D292" s="5">
        <f>AVERAGEIFS(Detalle!$D$2:$D$687,Detalle!$A$2:$A$687,$A292,Detalle!$C$2:$C$687,$B292)</f>
        <v>0.73950000000000005</v>
      </c>
      <c r="E292" s="5">
        <f>_xlfn.MINIFS(Detalle!$D$2:$D$687,Detalle!$A$2:$A$687,$A292,Detalle!$C$2:$C$687,$B292)</f>
        <v>0.71699999999999997</v>
      </c>
      <c r="F292" s="5">
        <f>_xlfn.MAXIFS(Detalle!$D$2:$D$687,Detalle!$A$2:$A$687,$A292,Detalle!$C$2:$C$687,$B292)</f>
        <v>0.76200000000000001</v>
      </c>
      <c r="G292" s="5">
        <f>AVERAGEIFS(Detalle!$F$2:$F$687,Detalle!$A$2:$A$687,$A292,Detalle!$C$2:$C$687,$B292)</f>
        <v>128.33099999999999</v>
      </c>
      <c r="H292" s="5">
        <f>_xlfn.MINIFS(Detalle!$F$2:$F$687,Detalle!$A$2:$A$687,$A292,Detalle!$C$2:$C$687,$B292)</f>
        <v>109.985</v>
      </c>
      <c r="I292" s="5">
        <f>_xlfn.MAXIFS(Detalle!$F$2:$F$687,Detalle!$A$2:$A$687,$A292,Detalle!$C$2:$C$687,$B292)</f>
        <v>146.67699999999999</v>
      </c>
    </row>
    <row r="293" spans="1:9" x14ac:dyDescent="0.25">
      <c r="A293" s="3">
        <v>13</v>
      </c>
      <c r="B293" s="3" t="s">
        <v>35</v>
      </c>
      <c r="C293" s="4">
        <f>COUNTIFS(Detalle!$A$2:$A$687,$A293,Detalle!$C$2:$C$687,$B293)</f>
        <v>1</v>
      </c>
      <c r="D293" s="5">
        <f>AVERAGEIFS(Detalle!$D$2:$D$687,Detalle!$A$2:$A$687,$A293,Detalle!$C$2:$C$687,$B293)</f>
        <v>0.876</v>
      </c>
      <c r="E293" s="5">
        <f>_xlfn.MINIFS(Detalle!$D$2:$D$687,Detalle!$A$2:$A$687,$A293,Detalle!$C$2:$C$687,$B293)</f>
        <v>0.876</v>
      </c>
      <c r="F293" s="5">
        <f>_xlfn.MAXIFS(Detalle!$D$2:$D$687,Detalle!$A$2:$A$687,$A293,Detalle!$C$2:$C$687,$B293)</f>
        <v>0.876</v>
      </c>
      <c r="G293" s="5">
        <f>AVERAGEIFS(Detalle!$F$2:$F$687,Detalle!$A$2:$A$687,$A293,Detalle!$C$2:$C$687,$B293)</f>
        <v>113.131</v>
      </c>
      <c r="H293" s="5">
        <f>_xlfn.MINIFS(Detalle!$F$2:$F$687,Detalle!$A$2:$A$687,$A293,Detalle!$C$2:$C$687,$B293)</f>
        <v>113.131</v>
      </c>
      <c r="I293" s="5">
        <f>_xlfn.MAXIFS(Detalle!$F$2:$F$687,Detalle!$A$2:$A$687,$A293,Detalle!$C$2:$C$687,$B293)</f>
        <v>113.131</v>
      </c>
    </row>
    <row r="294" spans="1:9" x14ac:dyDescent="0.25">
      <c r="A294" s="3">
        <v>13</v>
      </c>
      <c r="B294" s="3" t="s">
        <v>17</v>
      </c>
      <c r="C294" s="4">
        <f>COUNTIFS(Detalle!$A$2:$A$687,$A294,Detalle!$C$2:$C$687,$B294)</f>
        <v>2</v>
      </c>
      <c r="D294" s="5">
        <f>AVERAGEIFS(Detalle!$D$2:$D$687,Detalle!$A$2:$A$687,$A294,Detalle!$C$2:$C$687,$B294)</f>
        <v>0.89149999999999996</v>
      </c>
      <c r="E294" s="5">
        <f>_xlfn.MINIFS(Detalle!$D$2:$D$687,Detalle!$A$2:$A$687,$A294,Detalle!$C$2:$C$687,$B294)</f>
        <v>0.88700000000000001</v>
      </c>
      <c r="F294" s="5">
        <f>_xlfn.MAXIFS(Detalle!$D$2:$D$687,Detalle!$A$2:$A$687,$A294,Detalle!$C$2:$C$687,$B294)</f>
        <v>0.89600000000000002</v>
      </c>
      <c r="G294" s="5">
        <f>AVERAGEIFS(Detalle!$F$2:$F$687,Detalle!$A$2:$A$687,$A294,Detalle!$C$2:$C$687,$B294)</f>
        <v>109.40700000000001</v>
      </c>
      <c r="H294" s="5">
        <f>_xlfn.MINIFS(Detalle!$F$2:$F$687,Detalle!$A$2:$A$687,$A294,Detalle!$C$2:$C$687,$B294)</f>
        <v>106.01900000000001</v>
      </c>
      <c r="I294" s="5">
        <f>_xlfn.MAXIFS(Detalle!$F$2:$F$687,Detalle!$A$2:$A$687,$A294,Detalle!$C$2:$C$687,$B294)</f>
        <v>112.795</v>
      </c>
    </row>
    <row r="295" spans="1:9" x14ac:dyDescent="0.25">
      <c r="A295" s="3">
        <v>13</v>
      </c>
      <c r="B295" s="3" t="s">
        <v>34</v>
      </c>
      <c r="C295" s="4">
        <f>COUNTIFS(Detalle!$A$2:$A$687,$A295,Detalle!$C$2:$C$687,$B295)</f>
        <v>1</v>
      </c>
      <c r="D295" s="5">
        <f>AVERAGEIFS(Detalle!$D$2:$D$687,Detalle!$A$2:$A$687,$A295,Detalle!$C$2:$C$687,$B295)</f>
        <v>0.83299999999999996</v>
      </c>
      <c r="E295" s="5">
        <f>_xlfn.MINIFS(Detalle!$D$2:$D$687,Detalle!$A$2:$A$687,$A295,Detalle!$C$2:$C$687,$B295)</f>
        <v>0.83299999999999996</v>
      </c>
      <c r="F295" s="5">
        <f>_xlfn.MAXIFS(Detalle!$D$2:$D$687,Detalle!$A$2:$A$687,$A295,Detalle!$C$2:$C$687,$B295)</f>
        <v>0.83299999999999996</v>
      </c>
      <c r="G295" s="5">
        <f>AVERAGEIFS(Detalle!$F$2:$F$687,Detalle!$A$2:$A$687,$A295,Detalle!$C$2:$C$687,$B295)</f>
        <v>113.01900000000001</v>
      </c>
      <c r="H295" s="5">
        <f>_xlfn.MINIFS(Detalle!$F$2:$F$687,Detalle!$A$2:$A$687,$A295,Detalle!$C$2:$C$687,$B295)</f>
        <v>113.01900000000001</v>
      </c>
      <c r="I295" s="5">
        <f>_xlfn.MAXIFS(Detalle!$F$2:$F$687,Detalle!$A$2:$A$687,$A295,Detalle!$C$2:$C$687,$B295)</f>
        <v>113.01900000000001</v>
      </c>
    </row>
    <row r="296" spans="1:9" x14ac:dyDescent="0.25">
      <c r="A296" s="3">
        <v>13</v>
      </c>
      <c r="B296" s="3" t="s">
        <v>16</v>
      </c>
      <c r="C296" s="4">
        <f>COUNTIFS(Detalle!$A$2:$A$687,$A296,Detalle!$C$2:$C$687,$B296)</f>
        <v>5</v>
      </c>
      <c r="D296" s="5">
        <f>AVERAGEIFS(Detalle!$D$2:$D$687,Detalle!$A$2:$A$687,$A296,Detalle!$C$2:$C$687,$B296)</f>
        <v>0.82720000000000005</v>
      </c>
      <c r="E296" s="5">
        <f>_xlfn.MINIFS(Detalle!$D$2:$D$687,Detalle!$A$2:$A$687,$A296,Detalle!$C$2:$C$687,$B296)</f>
        <v>0.746</v>
      </c>
      <c r="F296" s="5">
        <f>_xlfn.MAXIFS(Detalle!$D$2:$D$687,Detalle!$A$2:$A$687,$A296,Detalle!$C$2:$C$687,$B296)</f>
        <v>0.879</v>
      </c>
      <c r="G296" s="5">
        <f>AVERAGEIFS(Detalle!$F$2:$F$687,Detalle!$A$2:$A$687,$A296,Detalle!$C$2:$C$687,$B296)</f>
        <v>129.07059999999998</v>
      </c>
      <c r="H296" s="5">
        <f>_xlfn.MINIFS(Detalle!$F$2:$F$687,Detalle!$A$2:$A$687,$A296,Detalle!$C$2:$C$687,$B296)</f>
        <v>104.151</v>
      </c>
      <c r="I296" s="5">
        <f>_xlfn.MAXIFS(Detalle!$F$2:$F$687,Detalle!$A$2:$A$687,$A296,Detalle!$C$2:$C$687,$B296)</f>
        <v>149.16999999999999</v>
      </c>
    </row>
    <row r="297" spans="1:9" x14ac:dyDescent="0.25">
      <c r="A297" s="3">
        <v>13</v>
      </c>
      <c r="B297" s="3" t="s">
        <v>13</v>
      </c>
      <c r="C297" s="4">
        <f>COUNTIFS(Detalle!$A$2:$A$687,$A297,Detalle!$C$2:$C$687,$B297)</f>
        <v>2</v>
      </c>
      <c r="D297" s="5">
        <f>AVERAGEIFS(Detalle!$D$2:$D$687,Detalle!$A$2:$A$687,$A297,Detalle!$C$2:$C$687,$B297)</f>
        <v>0.82650000000000001</v>
      </c>
      <c r="E297" s="5">
        <f>_xlfn.MINIFS(Detalle!$D$2:$D$687,Detalle!$A$2:$A$687,$A297,Detalle!$C$2:$C$687,$B297)</f>
        <v>0.79900000000000004</v>
      </c>
      <c r="F297" s="5">
        <f>_xlfn.MAXIFS(Detalle!$D$2:$D$687,Detalle!$A$2:$A$687,$A297,Detalle!$C$2:$C$687,$B297)</f>
        <v>0.85399999999999998</v>
      </c>
      <c r="G297" s="5">
        <f>AVERAGEIFS(Detalle!$F$2:$F$687,Detalle!$A$2:$A$687,$A297,Detalle!$C$2:$C$687,$B297)</f>
        <v>121.223</v>
      </c>
      <c r="H297" s="5">
        <f>_xlfn.MINIFS(Detalle!$F$2:$F$687,Detalle!$A$2:$A$687,$A297,Detalle!$C$2:$C$687,$B297)</f>
        <v>108.768</v>
      </c>
      <c r="I297" s="5">
        <f>_xlfn.MAXIFS(Detalle!$F$2:$F$687,Detalle!$A$2:$A$687,$A297,Detalle!$C$2:$C$687,$B297)</f>
        <v>133.678</v>
      </c>
    </row>
    <row r="298" spans="1:9" x14ac:dyDescent="0.25">
      <c r="A298" s="3">
        <v>13</v>
      </c>
      <c r="B298" s="3" t="s">
        <v>28</v>
      </c>
      <c r="C298" s="4">
        <f>COUNTIFS(Detalle!$A$2:$A$687,$A298,Detalle!$C$2:$C$687,$B298)</f>
        <v>3</v>
      </c>
      <c r="D298" s="5">
        <f>AVERAGEIFS(Detalle!$D$2:$D$687,Detalle!$A$2:$A$687,$A298,Detalle!$C$2:$C$687,$B298)</f>
        <v>0.85833333333333339</v>
      </c>
      <c r="E298" s="5">
        <f>_xlfn.MINIFS(Detalle!$D$2:$D$687,Detalle!$A$2:$A$687,$A298,Detalle!$C$2:$C$687,$B298)</f>
        <v>0.8</v>
      </c>
      <c r="F298" s="5">
        <f>_xlfn.MAXIFS(Detalle!$D$2:$D$687,Detalle!$A$2:$A$687,$A298,Detalle!$C$2:$C$687,$B298)</f>
        <v>0.94299999999999995</v>
      </c>
      <c r="G298" s="5">
        <f>AVERAGEIFS(Detalle!$F$2:$F$687,Detalle!$A$2:$A$687,$A298,Detalle!$C$2:$C$687,$B298)</f>
        <v>110.904</v>
      </c>
      <c r="H298" s="5">
        <f>_xlfn.MINIFS(Detalle!$F$2:$F$687,Detalle!$A$2:$A$687,$A298,Detalle!$C$2:$C$687,$B298)</f>
        <v>92.17</v>
      </c>
      <c r="I298" s="5">
        <f>_xlfn.MAXIFS(Detalle!$F$2:$F$687,Detalle!$A$2:$A$687,$A298,Detalle!$C$2:$C$687,$B298)</f>
        <v>126.749</v>
      </c>
    </row>
    <row r="299" spans="1:9" x14ac:dyDescent="0.25">
      <c r="A299" s="3">
        <v>13</v>
      </c>
      <c r="B299" s="3" t="s">
        <v>37</v>
      </c>
      <c r="C299" s="4">
        <f>COUNTIFS(Detalle!$A$2:$A$687,$A299,Detalle!$C$2:$C$687,$B299)</f>
        <v>2</v>
      </c>
      <c r="D299" s="5">
        <f>AVERAGEIFS(Detalle!$D$2:$D$687,Detalle!$A$2:$A$687,$A299,Detalle!$C$2:$C$687,$B299)</f>
        <v>0.83499999999999996</v>
      </c>
      <c r="E299" s="5">
        <f>_xlfn.MINIFS(Detalle!$D$2:$D$687,Detalle!$A$2:$A$687,$A299,Detalle!$C$2:$C$687,$B299)</f>
        <v>0.83499999999999996</v>
      </c>
      <c r="F299" s="5">
        <f>_xlfn.MAXIFS(Detalle!$D$2:$D$687,Detalle!$A$2:$A$687,$A299,Detalle!$C$2:$C$687,$B299)</f>
        <v>0.83499999999999996</v>
      </c>
      <c r="G299" s="5">
        <f>AVERAGEIFS(Detalle!$F$2:$F$687,Detalle!$A$2:$A$687,$A299,Detalle!$C$2:$C$687,$B299)</f>
        <v>103.04949999999999</v>
      </c>
      <c r="H299" s="5">
        <f>_xlfn.MINIFS(Detalle!$F$2:$F$687,Detalle!$A$2:$A$687,$A299,Detalle!$C$2:$C$687,$B299)</f>
        <v>97.941000000000003</v>
      </c>
      <c r="I299" s="5">
        <f>_xlfn.MAXIFS(Detalle!$F$2:$F$687,Detalle!$A$2:$A$687,$A299,Detalle!$C$2:$C$687,$B299)</f>
        <v>108.158</v>
      </c>
    </row>
    <row r="300" spans="1:9" x14ac:dyDescent="0.25">
      <c r="A300" s="3">
        <v>13</v>
      </c>
      <c r="B300" s="3" t="s">
        <v>21</v>
      </c>
      <c r="C300" s="4">
        <f>COUNTIFS(Detalle!$A$2:$A$687,$A300,Detalle!$C$2:$C$687,$B300)</f>
        <v>1</v>
      </c>
      <c r="D300" s="5">
        <f>AVERAGEIFS(Detalle!$D$2:$D$687,Detalle!$A$2:$A$687,$A300,Detalle!$C$2:$C$687,$B300)</f>
        <v>0.9</v>
      </c>
      <c r="E300" s="5">
        <f>_xlfn.MINIFS(Detalle!$D$2:$D$687,Detalle!$A$2:$A$687,$A300,Detalle!$C$2:$C$687,$B300)</f>
        <v>0.9</v>
      </c>
      <c r="F300" s="5">
        <f>_xlfn.MAXIFS(Detalle!$D$2:$D$687,Detalle!$A$2:$A$687,$A300,Detalle!$C$2:$C$687,$B300)</f>
        <v>0.9</v>
      </c>
      <c r="G300" s="5">
        <f>AVERAGEIFS(Detalle!$F$2:$F$687,Detalle!$A$2:$A$687,$A300,Detalle!$C$2:$C$687,$B300)</f>
        <v>132.18199999999999</v>
      </c>
      <c r="H300" s="5">
        <f>_xlfn.MINIFS(Detalle!$F$2:$F$687,Detalle!$A$2:$A$687,$A300,Detalle!$C$2:$C$687,$B300)</f>
        <v>132.18199999999999</v>
      </c>
      <c r="I300" s="5">
        <f>_xlfn.MAXIFS(Detalle!$F$2:$F$687,Detalle!$A$2:$A$687,$A300,Detalle!$C$2:$C$687,$B300)</f>
        <v>132.18199999999999</v>
      </c>
    </row>
    <row r="301" spans="1:9" x14ac:dyDescent="0.25">
      <c r="A301" s="3">
        <v>14</v>
      </c>
      <c r="B301" s="3" t="s">
        <v>38</v>
      </c>
      <c r="C301" s="4">
        <f>COUNTIFS(Detalle!$A$2:$A$687,$A301,Detalle!$C$2:$C$687,$B301)</f>
        <v>1</v>
      </c>
      <c r="D301" s="5">
        <f>AVERAGEIFS(Detalle!$D$2:$D$687,Detalle!$A$2:$A$687,$A301,Detalle!$C$2:$C$687,$B301)</f>
        <v>0.91400000000000003</v>
      </c>
      <c r="E301" s="5">
        <f>_xlfn.MINIFS(Detalle!$D$2:$D$687,Detalle!$A$2:$A$687,$A301,Detalle!$C$2:$C$687,$B301)</f>
        <v>0.91400000000000003</v>
      </c>
      <c r="F301" s="5">
        <f>_xlfn.MAXIFS(Detalle!$D$2:$D$687,Detalle!$A$2:$A$687,$A301,Detalle!$C$2:$C$687,$B301)</f>
        <v>0.91400000000000003</v>
      </c>
      <c r="G301" s="5">
        <f>AVERAGEIFS(Detalle!$F$2:$F$687,Detalle!$A$2:$A$687,$A301,Detalle!$C$2:$C$687,$B301)</f>
        <v>120.402</v>
      </c>
      <c r="H301" s="5">
        <f>_xlfn.MINIFS(Detalle!$F$2:$F$687,Detalle!$A$2:$A$687,$A301,Detalle!$C$2:$C$687,$B301)</f>
        <v>120.402</v>
      </c>
      <c r="I301" s="5">
        <f>_xlfn.MAXIFS(Detalle!$F$2:$F$687,Detalle!$A$2:$A$687,$A301,Detalle!$C$2:$C$687,$B301)</f>
        <v>120.402</v>
      </c>
    </row>
    <row r="302" spans="1:9" x14ac:dyDescent="0.25">
      <c r="A302" s="3">
        <v>14</v>
      </c>
      <c r="B302" s="3" t="s">
        <v>23</v>
      </c>
      <c r="C302" s="4">
        <f>COUNTIFS(Detalle!$A$2:$A$687,$A302,Detalle!$C$2:$C$687,$B302)</f>
        <v>1</v>
      </c>
      <c r="D302" s="5">
        <f>AVERAGEIFS(Detalle!$D$2:$D$687,Detalle!$A$2:$A$687,$A302,Detalle!$C$2:$C$687,$B302)</f>
        <v>0.99</v>
      </c>
      <c r="E302" s="5">
        <f>_xlfn.MINIFS(Detalle!$D$2:$D$687,Detalle!$A$2:$A$687,$A302,Detalle!$C$2:$C$687,$B302)</f>
        <v>0.99</v>
      </c>
      <c r="F302" s="5">
        <f>_xlfn.MAXIFS(Detalle!$D$2:$D$687,Detalle!$A$2:$A$687,$A302,Detalle!$C$2:$C$687,$B302)</f>
        <v>0.99</v>
      </c>
      <c r="G302" s="5">
        <f>AVERAGEIFS(Detalle!$F$2:$F$687,Detalle!$A$2:$A$687,$A302,Detalle!$C$2:$C$687,$B302)</f>
        <v>129.791</v>
      </c>
      <c r="H302" s="5">
        <f>_xlfn.MINIFS(Detalle!$F$2:$F$687,Detalle!$A$2:$A$687,$A302,Detalle!$C$2:$C$687,$B302)</f>
        <v>129.791</v>
      </c>
      <c r="I302" s="5">
        <f>_xlfn.MAXIFS(Detalle!$F$2:$F$687,Detalle!$A$2:$A$687,$A302,Detalle!$C$2:$C$687,$B302)</f>
        <v>129.791</v>
      </c>
    </row>
    <row r="303" spans="1:9" x14ac:dyDescent="0.25">
      <c r="A303" s="3">
        <v>14</v>
      </c>
      <c r="B303" s="3" t="s">
        <v>25</v>
      </c>
      <c r="C303" s="4">
        <f>COUNTIFS(Detalle!$A$2:$A$687,$A303,Detalle!$C$2:$C$687,$B303)</f>
        <v>1</v>
      </c>
      <c r="D303" s="5">
        <f>AVERAGEIFS(Detalle!$D$2:$D$687,Detalle!$A$2:$A$687,$A303,Detalle!$C$2:$C$687,$B303)</f>
        <v>0.83</v>
      </c>
      <c r="E303" s="5">
        <f>_xlfn.MINIFS(Detalle!$D$2:$D$687,Detalle!$A$2:$A$687,$A303,Detalle!$C$2:$C$687,$B303)</f>
        <v>0.83</v>
      </c>
      <c r="F303" s="5">
        <f>_xlfn.MAXIFS(Detalle!$D$2:$D$687,Detalle!$A$2:$A$687,$A303,Detalle!$C$2:$C$687,$B303)</f>
        <v>0.83</v>
      </c>
      <c r="G303" s="5">
        <f>AVERAGEIFS(Detalle!$F$2:$F$687,Detalle!$A$2:$A$687,$A303,Detalle!$C$2:$C$687,$B303)</f>
        <v>95.212999999999994</v>
      </c>
      <c r="H303" s="5">
        <f>_xlfn.MINIFS(Detalle!$F$2:$F$687,Detalle!$A$2:$A$687,$A303,Detalle!$C$2:$C$687,$B303)</f>
        <v>95.212999999999994</v>
      </c>
      <c r="I303" s="5">
        <f>_xlfn.MAXIFS(Detalle!$F$2:$F$687,Detalle!$A$2:$A$687,$A303,Detalle!$C$2:$C$687,$B303)</f>
        <v>95.212999999999994</v>
      </c>
    </row>
    <row r="304" spans="1:9" x14ac:dyDescent="0.25">
      <c r="A304" s="3">
        <v>14</v>
      </c>
      <c r="B304" s="3" t="s">
        <v>31</v>
      </c>
      <c r="C304" s="4">
        <f>COUNTIFS(Detalle!$A$2:$A$687,$A304,Detalle!$C$2:$C$687,$B304)</f>
        <v>3</v>
      </c>
      <c r="D304" s="5">
        <f>AVERAGEIFS(Detalle!$D$2:$D$687,Detalle!$A$2:$A$687,$A304,Detalle!$C$2:$C$687,$B304)</f>
        <v>0.875</v>
      </c>
      <c r="E304" s="5">
        <f>_xlfn.MINIFS(Detalle!$D$2:$D$687,Detalle!$A$2:$A$687,$A304,Detalle!$C$2:$C$687,$B304)</f>
        <v>0.78500000000000003</v>
      </c>
      <c r="F304" s="5">
        <f>_xlfn.MAXIFS(Detalle!$D$2:$D$687,Detalle!$A$2:$A$687,$A304,Detalle!$C$2:$C$687,$B304)</f>
        <v>0.93300000000000005</v>
      </c>
      <c r="G304" s="5">
        <f>AVERAGEIFS(Detalle!$F$2:$F$687,Detalle!$A$2:$A$687,$A304,Detalle!$C$2:$C$687,$B304)</f>
        <v>128.78700000000001</v>
      </c>
      <c r="H304" s="5">
        <f>_xlfn.MINIFS(Detalle!$F$2:$F$687,Detalle!$A$2:$A$687,$A304,Detalle!$C$2:$C$687,$B304)</f>
        <v>119.89100000000001</v>
      </c>
      <c r="I304" s="5">
        <f>_xlfn.MAXIFS(Detalle!$F$2:$F$687,Detalle!$A$2:$A$687,$A304,Detalle!$C$2:$C$687,$B304)</f>
        <v>139.673</v>
      </c>
    </row>
    <row r="305" spans="1:9" x14ac:dyDescent="0.25">
      <c r="A305" s="3">
        <v>14</v>
      </c>
      <c r="B305" s="3" t="s">
        <v>29</v>
      </c>
      <c r="C305" s="4">
        <f>COUNTIFS(Detalle!$A$2:$A$687,$A305,Detalle!$C$2:$C$687,$B305)</f>
        <v>1</v>
      </c>
      <c r="D305" s="5">
        <f>AVERAGEIFS(Detalle!$D$2:$D$687,Detalle!$A$2:$A$687,$A305,Detalle!$C$2:$C$687,$B305)</f>
        <v>0.84299999999999997</v>
      </c>
      <c r="E305" s="5">
        <f>_xlfn.MINIFS(Detalle!$D$2:$D$687,Detalle!$A$2:$A$687,$A305,Detalle!$C$2:$C$687,$B305)</f>
        <v>0.84299999999999997</v>
      </c>
      <c r="F305" s="5">
        <f>_xlfn.MAXIFS(Detalle!$D$2:$D$687,Detalle!$A$2:$A$687,$A305,Detalle!$C$2:$C$687,$B305)</f>
        <v>0.84299999999999997</v>
      </c>
      <c r="G305" s="5">
        <f>AVERAGEIFS(Detalle!$F$2:$F$687,Detalle!$A$2:$A$687,$A305,Detalle!$C$2:$C$687,$B305)</f>
        <v>98.358999999999995</v>
      </c>
      <c r="H305" s="5">
        <f>_xlfn.MINIFS(Detalle!$F$2:$F$687,Detalle!$A$2:$A$687,$A305,Detalle!$C$2:$C$687,$B305)</f>
        <v>98.358999999999995</v>
      </c>
      <c r="I305" s="5">
        <f>_xlfn.MAXIFS(Detalle!$F$2:$F$687,Detalle!$A$2:$A$687,$A305,Detalle!$C$2:$C$687,$B305)</f>
        <v>98.358999999999995</v>
      </c>
    </row>
    <row r="306" spans="1:9" x14ac:dyDescent="0.25">
      <c r="A306" s="3">
        <v>14</v>
      </c>
      <c r="B306" s="3" t="s">
        <v>22</v>
      </c>
      <c r="C306" s="4">
        <f>COUNTIFS(Detalle!$A$2:$A$687,$A306,Detalle!$C$2:$C$687,$B306)</f>
        <v>1</v>
      </c>
      <c r="D306" s="5">
        <f>AVERAGEIFS(Detalle!$D$2:$D$687,Detalle!$A$2:$A$687,$A306,Detalle!$C$2:$C$687,$B306)</f>
        <v>0.88</v>
      </c>
      <c r="E306" s="5">
        <f>_xlfn.MINIFS(Detalle!$D$2:$D$687,Detalle!$A$2:$A$687,$A306,Detalle!$C$2:$C$687,$B306)</f>
        <v>0.88</v>
      </c>
      <c r="F306" s="5">
        <f>_xlfn.MAXIFS(Detalle!$D$2:$D$687,Detalle!$A$2:$A$687,$A306,Detalle!$C$2:$C$687,$B306)</f>
        <v>0.88</v>
      </c>
      <c r="G306" s="5">
        <f>AVERAGEIFS(Detalle!$F$2:$F$687,Detalle!$A$2:$A$687,$A306,Detalle!$C$2:$C$687,$B306)</f>
        <v>114.126</v>
      </c>
      <c r="H306" s="5">
        <f>_xlfn.MINIFS(Detalle!$F$2:$F$687,Detalle!$A$2:$A$687,$A306,Detalle!$C$2:$C$687,$B306)</f>
        <v>114.126</v>
      </c>
      <c r="I306" s="5">
        <f>_xlfn.MAXIFS(Detalle!$F$2:$F$687,Detalle!$A$2:$A$687,$A306,Detalle!$C$2:$C$687,$B306)</f>
        <v>114.126</v>
      </c>
    </row>
    <row r="307" spans="1:9" x14ac:dyDescent="0.25">
      <c r="A307" s="3">
        <v>14</v>
      </c>
      <c r="B307" s="3" t="s">
        <v>26</v>
      </c>
      <c r="C307" s="4">
        <f>COUNTIFS(Detalle!$A$2:$A$687,$A307,Detalle!$C$2:$C$687,$B307)</f>
        <v>2</v>
      </c>
      <c r="D307" s="5">
        <f>AVERAGEIFS(Detalle!$D$2:$D$687,Detalle!$A$2:$A$687,$A307,Detalle!$C$2:$C$687,$B307)</f>
        <v>0.95250000000000001</v>
      </c>
      <c r="E307" s="5">
        <f>_xlfn.MINIFS(Detalle!$D$2:$D$687,Detalle!$A$2:$A$687,$A307,Detalle!$C$2:$C$687,$B307)</f>
        <v>0.91500000000000004</v>
      </c>
      <c r="F307" s="5">
        <f>_xlfn.MAXIFS(Detalle!$D$2:$D$687,Detalle!$A$2:$A$687,$A307,Detalle!$C$2:$C$687,$B307)</f>
        <v>0.99</v>
      </c>
      <c r="G307" s="5">
        <f>AVERAGEIFS(Detalle!$F$2:$F$687,Detalle!$A$2:$A$687,$A307,Detalle!$C$2:$C$687,$B307)</f>
        <v>137.95850000000002</v>
      </c>
      <c r="H307" s="5">
        <f>_xlfn.MINIFS(Detalle!$F$2:$F$687,Detalle!$A$2:$A$687,$A307,Detalle!$C$2:$C$687,$B307)</f>
        <v>121.73699999999999</v>
      </c>
      <c r="I307" s="5">
        <f>_xlfn.MAXIFS(Detalle!$F$2:$F$687,Detalle!$A$2:$A$687,$A307,Detalle!$C$2:$C$687,$B307)</f>
        <v>154.18</v>
      </c>
    </row>
    <row r="308" spans="1:9" x14ac:dyDescent="0.25">
      <c r="A308" s="3">
        <v>14</v>
      </c>
      <c r="B308" s="3" t="s">
        <v>33</v>
      </c>
      <c r="C308" s="4">
        <f>COUNTIFS(Detalle!$A$2:$A$687,$A308,Detalle!$C$2:$C$687,$B308)</f>
        <v>4</v>
      </c>
      <c r="D308" s="5">
        <f>AVERAGEIFS(Detalle!$D$2:$D$687,Detalle!$A$2:$A$687,$A308,Detalle!$C$2:$C$687,$B308)</f>
        <v>0.88500000000000001</v>
      </c>
      <c r="E308" s="5">
        <f>_xlfn.MINIFS(Detalle!$D$2:$D$687,Detalle!$A$2:$A$687,$A308,Detalle!$C$2:$C$687,$B308)</f>
        <v>0.81799999999999995</v>
      </c>
      <c r="F308" s="5">
        <f>_xlfn.MAXIFS(Detalle!$D$2:$D$687,Detalle!$A$2:$A$687,$A308,Detalle!$C$2:$C$687,$B308)</f>
        <v>0.97799999999999998</v>
      </c>
      <c r="G308" s="5">
        <f>AVERAGEIFS(Detalle!$F$2:$F$687,Detalle!$A$2:$A$687,$A308,Detalle!$C$2:$C$687,$B308)</f>
        <v>124.32825</v>
      </c>
      <c r="H308" s="5">
        <f>_xlfn.MINIFS(Detalle!$F$2:$F$687,Detalle!$A$2:$A$687,$A308,Detalle!$C$2:$C$687,$B308)</f>
        <v>115.425</v>
      </c>
      <c r="I308" s="5">
        <f>_xlfn.MAXIFS(Detalle!$F$2:$F$687,Detalle!$A$2:$A$687,$A308,Detalle!$C$2:$C$687,$B308)</f>
        <v>135.93299999999999</v>
      </c>
    </row>
    <row r="309" spans="1:9" x14ac:dyDescent="0.25">
      <c r="A309" s="3">
        <v>14</v>
      </c>
      <c r="B309" s="3" t="s">
        <v>30</v>
      </c>
      <c r="C309" s="4">
        <f>COUNTIFS(Detalle!$A$2:$A$687,$A309,Detalle!$C$2:$C$687,$B309)</f>
        <v>1</v>
      </c>
      <c r="D309" s="5">
        <f>AVERAGEIFS(Detalle!$D$2:$D$687,Detalle!$A$2:$A$687,$A309,Detalle!$C$2:$C$687,$B309)</f>
        <v>0.93700000000000006</v>
      </c>
      <c r="E309" s="5">
        <f>_xlfn.MINIFS(Detalle!$D$2:$D$687,Detalle!$A$2:$A$687,$A309,Detalle!$C$2:$C$687,$B309)</f>
        <v>0.93700000000000006</v>
      </c>
      <c r="F309" s="5">
        <f>_xlfn.MAXIFS(Detalle!$D$2:$D$687,Detalle!$A$2:$A$687,$A309,Detalle!$C$2:$C$687,$B309)</f>
        <v>0.93700000000000006</v>
      </c>
      <c r="G309" s="5">
        <f>AVERAGEIFS(Detalle!$F$2:$F$687,Detalle!$A$2:$A$687,$A309,Detalle!$C$2:$C$687,$B309)</f>
        <v>141.20500000000001</v>
      </c>
      <c r="H309" s="5">
        <f>_xlfn.MINIFS(Detalle!$F$2:$F$687,Detalle!$A$2:$A$687,$A309,Detalle!$C$2:$C$687,$B309)</f>
        <v>141.20500000000001</v>
      </c>
      <c r="I309" s="5">
        <f>_xlfn.MAXIFS(Detalle!$F$2:$F$687,Detalle!$A$2:$A$687,$A309,Detalle!$C$2:$C$687,$B309)</f>
        <v>141.20500000000001</v>
      </c>
    </row>
    <row r="310" spans="1:9" x14ac:dyDescent="0.25">
      <c r="A310" s="3">
        <v>14</v>
      </c>
      <c r="B310" s="3" t="s">
        <v>32</v>
      </c>
      <c r="C310" s="4">
        <f>COUNTIFS(Detalle!$A$2:$A$687,$A310,Detalle!$C$2:$C$687,$B310)</f>
        <v>1</v>
      </c>
      <c r="D310" s="5">
        <f>AVERAGEIFS(Detalle!$D$2:$D$687,Detalle!$A$2:$A$687,$A310,Detalle!$C$2:$C$687,$B310)</f>
        <v>0.748</v>
      </c>
      <c r="E310" s="5">
        <f>_xlfn.MINIFS(Detalle!$D$2:$D$687,Detalle!$A$2:$A$687,$A310,Detalle!$C$2:$C$687,$B310)</f>
        <v>0.748</v>
      </c>
      <c r="F310" s="5">
        <f>_xlfn.MAXIFS(Detalle!$D$2:$D$687,Detalle!$A$2:$A$687,$A310,Detalle!$C$2:$C$687,$B310)</f>
        <v>0.748</v>
      </c>
      <c r="G310" s="5">
        <f>AVERAGEIFS(Detalle!$F$2:$F$687,Detalle!$A$2:$A$687,$A310,Detalle!$C$2:$C$687,$B310)</f>
        <v>116.23</v>
      </c>
      <c r="H310" s="5">
        <f>_xlfn.MINIFS(Detalle!$F$2:$F$687,Detalle!$A$2:$A$687,$A310,Detalle!$C$2:$C$687,$B310)</f>
        <v>116.23</v>
      </c>
      <c r="I310" s="5">
        <f>_xlfn.MAXIFS(Detalle!$F$2:$F$687,Detalle!$A$2:$A$687,$A310,Detalle!$C$2:$C$687,$B310)</f>
        <v>116.23</v>
      </c>
    </row>
    <row r="311" spans="1:9" x14ac:dyDescent="0.25">
      <c r="A311" s="3">
        <v>14</v>
      </c>
      <c r="B311" s="3" t="s">
        <v>24</v>
      </c>
      <c r="C311" s="4">
        <f>COUNTIFS(Detalle!$A$2:$A$687,$A311,Detalle!$C$2:$C$687,$B311)</f>
        <v>1</v>
      </c>
      <c r="D311" s="5">
        <f>AVERAGEIFS(Detalle!$D$2:$D$687,Detalle!$A$2:$A$687,$A311,Detalle!$C$2:$C$687,$B311)</f>
        <v>0.91600000000000004</v>
      </c>
      <c r="E311" s="5">
        <f>_xlfn.MINIFS(Detalle!$D$2:$D$687,Detalle!$A$2:$A$687,$A311,Detalle!$C$2:$C$687,$B311)</f>
        <v>0.91600000000000004</v>
      </c>
      <c r="F311" s="5">
        <f>_xlfn.MAXIFS(Detalle!$D$2:$D$687,Detalle!$A$2:$A$687,$A311,Detalle!$C$2:$C$687,$B311)</f>
        <v>0.91600000000000004</v>
      </c>
      <c r="G311" s="5">
        <f>AVERAGEIFS(Detalle!$F$2:$F$687,Detalle!$A$2:$A$687,$A311,Detalle!$C$2:$C$687,$B311)</f>
        <v>90.465999999999994</v>
      </c>
      <c r="H311" s="5">
        <f>_xlfn.MINIFS(Detalle!$F$2:$F$687,Detalle!$A$2:$A$687,$A311,Detalle!$C$2:$C$687,$B311)</f>
        <v>90.465999999999994</v>
      </c>
      <c r="I311" s="5">
        <f>_xlfn.MAXIFS(Detalle!$F$2:$F$687,Detalle!$A$2:$A$687,$A311,Detalle!$C$2:$C$687,$B311)</f>
        <v>90.465999999999994</v>
      </c>
    </row>
    <row r="312" spans="1:9" x14ac:dyDescent="0.25">
      <c r="A312" s="3">
        <v>14</v>
      </c>
      <c r="B312" s="3" t="s">
        <v>39</v>
      </c>
      <c r="C312" s="4">
        <f>COUNTIFS(Detalle!$A$2:$A$687,$A312,Detalle!$C$2:$C$687,$B312)</f>
        <v>7</v>
      </c>
      <c r="D312" s="5">
        <f>AVERAGEIFS(Detalle!$D$2:$D$687,Detalle!$A$2:$A$687,$A312,Detalle!$C$2:$C$687,$B312)</f>
        <v>0.88171428571428567</v>
      </c>
      <c r="E312" s="5">
        <f>_xlfn.MINIFS(Detalle!$D$2:$D$687,Detalle!$A$2:$A$687,$A312,Detalle!$C$2:$C$687,$B312)</f>
        <v>0.74</v>
      </c>
      <c r="F312" s="5">
        <f>_xlfn.MAXIFS(Detalle!$D$2:$D$687,Detalle!$A$2:$A$687,$A312,Detalle!$C$2:$C$687,$B312)</f>
        <v>0.98</v>
      </c>
      <c r="G312" s="5">
        <f>AVERAGEIFS(Detalle!$F$2:$F$687,Detalle!$A$2:$A$687,$A312,Detalle!$C$2:$C$687,$B312)</f>
        <v>117.33842857142858</v>
      </c>
      <c r="H312" s="5">
        <f>_xlfn.MINIFS(Detalle!$F$2:$F$687,Detalle!$A$2:$A$687,$A312,Detalle!$C$2:$C$687,$B312)</f>
        <v>85</v>
      </c>
      <c r="I312" s="5">
        <f>_xlfn.MAXIFS(Detalle!$F$2:$F$687,Detalle!$A$2:$A$687,$A312,Detalle!$C$2:$C$687,$B312)</f>
        <v>132.87299999999999</v>
      </c>
    </row>
    <row r="313" spans="1:9" x14ac:dyDescent="0.25">
      <c r="A313" s="3">
        <v>14</v>
      </c>
      <c r="B313" s="3" t="s">
        <v>19</v>
      </c>
      <c r="C313" s="4">
        <f>COUNTIFS(Detalle!$A$2:$A$687,$A313,Detalle!$C$2:$C$687,$B313)</f>
        <v>4</v>
      </c>
      <c r="D313" s="5">
        <f>AVERAGEIFS(Detalle!$D$2:$D$687,Detalle!$A$2:$A$687,$A313,Detalle!$C$2:$C$687,$B313)</f>
        <v>0.85124999999999995</v>
      </c>
      <c r="E313" s="5">
        <f>_xlfn.MINIFS(Detalle!$D$2:$D$687,Detalle!$A$2:$A$687,$A313,Detalle!$C$2:$C$687,$B313)</f>
        <v>0.75600000000000001</v>
      </c>
      <c r="F313" s="5">
        <f>_xlfn.MAXIFS(Detalle!$D$2:$D$687,Detalle!$A$2:$A$687,$A313,Detalle!$C$2:$C$687,$B313)</f>
        <v>0.91400000000000003</v>
      </c>
      <c r="G313" s="5">
        <f>AVERAGEIFS(Detalle!$F$2:$F$687,Detalle!$A$2:$A$687,$A313,Detalle!$C$2:$C$687,$B313)</f>
        <v>111.765</v>
      </c>
      <c r="H313" s="5">
        <f>_xlfn.MINIFS(Detalle!$F$2:$F$687,Detalle!$A$2:$A$687,$A313,Detalle!$C$2:$C$687,$B313)</f>
        <v>85.741</v>
      </c>
      <c r="I313" s="5">
        <f>_xlfn.MAXIFS(Detalle!$F$2:$F$687,Detalle!$A$2:$A$687,$A313,Detalle!$C$2:$C$687,$B313)</f>
        <v>136.29300000000001</v>
      </c>
    </row>
    <row r="314" spans="1:9" x14ac:dyDescent="0.25">
      <c r="A314" s="3">
        <v>14</v>
      </c>
      <c r="B314" s="3" t="s">
        <v>36</v>
      </c>
      <c r="C314" s="4">
        <f>COUNTIFS(Detalle!$A$2:$A$687,$A314,Detalle!$C$2:$C$687,$B314)</f>
        <v>3</v>
      </c>
      <c r="D314" s="5">
        <f>AVERAGEIFS(Detalle!$D$2:$D$687,Detalle!$A$2:$A$687,$A314,Detalle!$C$2:$C$687,$B314)</f>
        <v>0.92600000000000005</v>
      </c>
      <c r="E314" s="5">
        <f>_xlfn.MINIFS(Detalle!$D$2:$D$687,Detalle!$A$2:$A$687,$A314,Detalle!$C$2:$C$687,$B314)</f>
        <v>0.89400000000000002</v>
      </c>
      <c r="F314" s="5">
        <f>_xlfn.MAXIFS(Detalle!$D$2:$D$687,Detalle!$A$2:$A$687,$A314,Detalle!$C$2:$C$687,$B314)</f>
        <v>0.96199999999999997</v>
      </c>
      <c r="G314" s="5">
        <f>AVERAGEIFS(Detalle!$F$2:$F$687,Detalle!$A$2:$A$687,$A314,Detalle!$C$2:$C$687,$B314)</f>
        <v>125.01933333333334</v>
      </c>
      <c r="H314" s="5">
        <f>_xlfn.MINIFS(Detalle!$F$2:$F$687,Detalle!$A$2:$A$687,$A314,Detalle!$C$2:$C$687,$B314)</f>
        <v>100.596</v>
      </c>
      <c r="I314" s="5">
        <f>_xlfn.MAXIFS(Detalle!$F$2:$F$687,Detalle!$A$2:$A$687,$A314,Detalle!$C$2:$C$687,$B314)</f>
        <v>141.578</v>
      </c>
    </row>
    <row r="315" spans="1:9" x14ac:dyDescent="0.25">
      <c r="A315" s="3">
        <v>14</v>
      </c>
      <c r="B315" s="3" t="s">
        <v>15</v>
      </c>
      <c r="C315" s="4">
        <f>COUNTIFS(Detalle!$A$2:$A$687,$A315,Detalle!$C$2:$C$687,$B315)</f>
        <v>2</v>
      </c>
      <c r="D315" s="5">
        <f>AVERAGEIFS(Detalle!$D$2:$D$687,Detalle!$A$2:$A$687,$A315,Detalle!$C$2:$C$687,$B315)</f>
        <v>0.92849999999999999</v>
      </c>
      <c r="E315" s="5">
        <f>_xlfn.MINIFS(Detalle!$D$2:$D$687,Detalle!$A$2:$A$687,$A315,Detalle!$C$2:$C$687,$B315)</f>
        <v>0.91100000000000003</v>
      </c>
      <c r="F315" s="5">
        <f>_xlfn.MAXIFS(Detalle!$D$2:$D$687,Detalle!$A$2:$A$687,$A315,Detalle!$C$2:$C$687,$B315)</f>
        <v>0.94599999999999995</v>
      </c>
      <c r="G315" s="5">
        <f>AVERAGEIFS(Detalle!$F$2:$F$687,Detalle!$A$2:$A$687,$A315,Detalle!$C$2:$C$687,$B315)</f>
        <v>121.25999999999999</v>
      </c>
      <c r="H315" s="5">
        <f>_xlfn.MINIFS(Detalle!$F$2:$F$687,Detalle!$A$2:$A$687,$A315,Detalle!$C$2:$C$687,$B315)</f>
        <v>117.011</v>
      </c>
      <c r="I315" s="5">
        <f>_xlfn.MAXIFS(Detalle!$F$2:$F$687,Detalle!$A$2:$A$687,$A315,Detalle!$C$2:$C$687,$B315)</f>
        <v>125.509</v>
      </c>
    </row>
    <row r="316" spans="1:9" x14ac:dyDescent="0.25">
      <c r="A316" s="3">
        <v>14</v>
      </c>
      <c r="B316" s="3" t="s">
        <v>18</v>
      </c>
      <c r="C316" s="4">
        <f>COUNTIFS(Detalle!$A$2:$A$687,$A316,Detalle!$C$2:$C$687,$B316)</f>
        <v>1</v>
      </c>
      <c r="D316" s="5">
        <f>AVERAGEIFS(Detalle!$D$2:$D$687,Detalle!$A$2:$A$687,$A316,Detalle!$C$2:$C$687,$B316)</f>
        <v>0.97899999999999998</v>
      </c>
      <c r="E316" s="5">
        <f>_xlfn.MINIFS(Detalle!$D$2:$D$687,Detalle!$A$2:$A$687,$A316,Detalle!$C$2:$C$687,$B316)</f>
        <v>0.97899999999999998</v>
      </c>
      <c r="F316" s="5">
        <f>_xlfn.MAXIFS(Detalle!$D$2:$D$687,Detalle!$A$2:$A$687,$A316,Detalle!$C$2:$C$687,$B316)</f>
        <v>0.97899999999999998</v>
      </c>
      <c r="G316" s="5">
        <f>AVERAGEIFS(Detalle!$F$2:$F$687,Detalle!$A$2:$A$687,$A316,Detalle!$C$2:$C$687,$B316)</f>
        <v>128.154</v>
      </c>
      <c r="H316" s="5">
        <f>_xlfn.MINIFS(Detalle!$F$2:$F$687,Detalle!$A$2:$A$687,$A316,Detalle!$C$2:$C$687,$B316)</f>
        <v>128.154</v>
      </c>
      <c r="I316" s="5">
        <f>_xlfn.MAXIFS(Detalle!$F$2:$F$687,Detalle!$A$2:$A$687,$A316,Detalle!$C$2:$C$687,$B316)</f>
        <v>128.154</v>
      </c>
    </row>
    <row r="317" spans="1:9" x14ac:dyDescent="0.25">
      <c r="A317" s="3">
        <v>14</v>
      </c>
      <c r="B317" s="3" t="s">
        <v>35</v>
      </c>
      <c r="C317" s="4">
        <f>COUNTIFS(Detalle!$A$2:$A$687,$A317,Detalle!$C$2:$C$687,$B317)</f>
        <v>1</v>
      </c>
      <c r="D317" s="5">
        <f>AVERAGEIFS(Detalle!$D$2:$D$687,Detalle!$A$2:$A$687,$A317,Detalle!$C$2:$C$687,$B317)</f>
        <v>0.92600000000000005</v>
      </c>
      <c r="E317" s="5">
        <f>_xlfn.MINIFS(Detalle!$D$2:$D$687,Detalle!$A$2:$A$687,$A317,Detalle!$C$2:$C$687,$B317)</f>
        <v>0.92600000000000005</v>
      </c>
      <c r="F317" s="5">
        <f>_xlfn.MAXIFS(Detalle!$D$2:$D$687,Detalle!$A$2:$A$687,$A317,Detalle!$C$2:$C$687,$B317)</f>
        <v>0.92600000000000005</v>
      </c>
      <c r="G317" s="5">
        <f>AVERAGEIFS(Detalle!$F$2:$F$687,Detalle!$A$2:$A$687,$A317,Detalle!$C$2:$C$687,$B317)</f>
        <v>109.952</v>
      </c>
      <c r="H317" s="5">
        <f>_xlfn.MINIFS(Detalle!$F$2:$F$687,Detalle!$A$2:$A$687,$A317,Detalle!$C$2:$C$687,$B317)</f>
        <v>109.952</v>
      </c>
      <c r="I317" s="5">
        <f>_xlfn.MAXIFS(Detalle!$F$2:$F$687,Detalle!$A$2:$A$687,$A317,Detalle!$C$2:$C$687,$B317)</f>
        <v>109.952</v>
      </c>
    </row>
    <row r="318" spans="1:9" x14ac:dyDescent="0.25">
      <c r="A318" s="3">
        <v>14</v>
      </c>
      <c r="B318" s="3" t="s">
        <v>34</v>
      </c>
      <c r="C318" s="4">
        <f>COUNTIFS(Detalle!$A$2:$A$687,$A318,Detalle!$C$2:$C$687,$B318)</f>
        <v>2</v>
      </c>
      <c r="D318" s="5">
        <f>AVERAGEIFS(Detalle!$D$2:$D$687,Detalle!$A$2:$A$687,$A318,Detalle!$C$2:$C$687,$B318)</f>
        <v>0.89849999999999997</v>
      </c>
      <c r="E318" s="5">
        <f>_xlfn.MINIFS(Detalle!$D$2:$D$687,Detalle!$A$2:$A$687,$A318,Detalle!$C$2:$C$687,$B318)</f>
        <v>0.82</v>
      </c>
      <c r="F318" s="5">
        <f>_xlfn.MAXIFS(Detalle!$D$2:$D$687,Detalle!$A$2:$A$687,$A318,Detalle!$C$2:$C$687,$B318)</f>
        <v>0.97699999999999998</v>
      </c>
      <c r="G318" s="5">
        <f>AVERAGEIFS(Detalle!$F$2:$F$687,Detalle!$A$2:$A$687,$A318,Detalle!$C$2:$C$687,$B318)</f>
        <v>107.28049999999999</v>
      </c>
      <c r="H318" s="5">
        <f>_xlfn.MINIFS(Detalle!$F$2:$F$687,Detalle!$A$2:$A$687,$A318,Detalle!$C$2:$C$687,$B318)</f>
        <v>101.45099999999999</v>
      </c>
      <c r="I318" s="5">
        <f>_xlfn.MAXIFS(Detalle!$F$2:$F$687,Detalle!$A$2:$A$687,$A318,Detalle!$C$2:$C$687,$B318)</f>
        <v>113.11</v>
      </c>
    </row>
    <row r="319" spans="1:9" x14ac:dyDescent="0.25">
      <c r="A319" s="3">
        <v>14</v>
      </c>
      <c r="B319" s="3" t="s">
        <v>16</v>
      </c>
      <c r="C319" s="4">
        <f>COUNTIFS(Detalle!$A$2:$A$687,$A319,Detalle!$C$2:$C$687,$B319)</f>
        <v>1</v>
      </c>
      <c r="D319" s="5">
        <f>AVERAGEIFS(Detalle!$D$2:$D$687,Detalle!$A$2:$A$687,$A319,Detalle!$C$2:$C$687,$B319)</f>
        <v>0.83099999999999996</v>
      </c>
      <c r="E319" s="5">
        <f>_xlfn.MINIFS(Detalle!$D$2:$D$687,Detalle!$A$2:$A$687,$A319,Detalle!$C$2:$C$687,$B319)</f>
        <v>0.83099999999999996</v>
      </c>
      <c r="F319" s="5">
        <f>_xlfn.MAXIFS(Detalle!$D$2:$D$687,Detalle!$A$2:$A$687,$A319,Detalle!$C$2:$C$687,$B319)</f>
        <v>0.83099999999999996</v>
      </c>
      <c r="G319" s="5">
        <f>AVERAGEIFS(Detalle!$F$2:$F$687,Detalle!$A$2:$A$687,$A319,Detalle!$C$2:$C$687,$B319)</f>
        <v>148.03</v>
      </c>
      <c r="H319" s="5">
        <f>_xlfn.MINIFS(Detalle!$F$2:$F$687,Detalle!$A$2:$A$687,$A319,Detalle!$C$2:$C$687,$B319)</f>
        <v>148.03</v>
      </c>
      <c r="I319" s="5">
        <f>_xlfn.MAXIFS(Detalle!$F$2:$F$687,Detalle!$A$2:$A$687,$A319,Detalle!$C$2:$C$687,$B319)</f>
        <v>148.03</v>
      </c>
    </row>
    <row r="320" spans="1:9" x14ac:dyDescent="0.25">
      <c r="A320" s="3">
        <v>14</v>
      </c>
      <c r="B320" s="3" t="s">
        <v>13</v>
      </c>
      <c r="C320" s="4">
        <f>COUNTIFS(Detalle!$A$2:$A$687,$A320,Detalle!$C$2:$C$687,$B320)</f>
        <v>3</v>
      </c>
      <c r="D320" s="5">
        <f>AVERAGEIFS(Detalle!$D$2:$D$687,Detalle!$A$2:$A$687,$A320,Detalle!$C$2:$C$687,$B320)</f>
        <v>0.85833333333333328</v>
      </c>
      <c r="E320" s="5">
        <f>_xlfn.MINIFS(Detalle!$D$2:$D$687,Detalle!$A$2:$A$687,$A320,Detalle!$C$2:$C$687,$B320)</f>
        <v>0.76300000000000001</v>
      </c>
      <c r="F320" s="5">
        <f>_xlfn.MAXIFS(Detalle!$D$2:$D$687,Detalle!$A$2:$A$687,$A320,Detalle!$C$2:$C$687,$B320)</f>
        <v>0.98899999999999999</v>
      </c>
      <c r="G320" s="5">
        <f>AVERAGEIFS(Detalle!$F$2:$F$687,Detalle!$A$2:$A$687,$A320,Detalle!$C$2:$C$687,$B320)</f>
        <v>110.26566666666668</v>
      </c>
      <c r="H320" s="5">
        <f>_xlfn.MINIFS(Detalle!$F$2:$F$687,Detalle!$A$2:$A$687,$A320,Detalle!$C$2:$C$687,$B320)</f>
        <v>85</v>
      </c>
      <c r="I320" s="5">
        <f>_xlfn.MAXIFS(Detalle!$F$2:$F$687,Detalle!$A$2:$A$687,$A320,Detalle!$C$2:$C$687,$B320)</f>
        <v>125.322</v>
      </c>
    </row>
    <row r="321" spans="1:9" x14ac:dyDescent="0.25">
      <c r="A321" s="3">
        <v>14</v>
      </c>
      <c r="B321" s="3" t="s">
        <v>28</v>
      </c>
      <c r="C321" s="4">
        <f>COUNTIFS(Detalle!$A$2:$A$687,$A321,Detalle!$C$2:$C$687,$B321)</f>
        <v>2</v>
      </c>
      <c r="D321" s="5">
        <f>AVERAGEIFS(Detalle!$D$2:$D$687,Detalle!$A$2:$A$687,$A321,Detalle!$C$2:$C$687,$B321)</f>
        <v>0.9335</v>
      </c>
      <c r="E321" s="5">
        <f>_xlfn.MINIFS(Detalle!$D$2:$D$687,Detalle!$A$2:$A$687,$A321,Detalle!$C$2:$C$687,$B321)</f>
        <v>0.91900000000000004</v>
      </c>
      <c r="F321" s="5">
        <f>_xlfn.MAXIFS(Detalle!$D$2:$D$687,Detalle!$A$2:$A$687,$A321,Detalle!$C$2:$C$687,$B321)</f>
        <v>0.94799999999999995</v>
      </c>
      <c r="G321" s="5">
        <f>AVERAGEIFS(Detalle!$F$2:$F$687,Detalle!$A$2:$A$687,$A321,Detalle!$C$2:$C$687,$B321)</f>
        <v>104.0395</v>
      </c>
      <c r="H321" s="5">
        <f>_xlfn.MINIFS(Detalle!$F$2:$F$687,Detalle!$A$2:$A$687,$A321,Detalle!$C$2:$C$687,$B321)</f>
        <v>85</v>
      </c>
      <c r="I321" s="5">
        <f>_xlfn.MAXIFS(Detalle!$F$2:$F$687,Detalle!$A$2:$A$687,$A321,Detalle!$C$2:$C$687,$B321)</f>
        <v>123.07899999999999</v>
      </c>
    </row>
    <row r="322" spans="1:9" x14ac:dyDescent="0.25">
      <c r="A322" s="3">
        <v>14</v>
      </c>
      <c r="B322" s="3" t="s">
        <v>37</v>
      </c>
      <c r="C322" s="4">
        <f>COUNTIFS(Detalle!$A$2:$A$687,$A322,Detalle!$C$2:$C$687,$B322)</f>
        <v>4</v>
      </c>
      <c r="D322" s="5">
        <f>AVERAGEIFS(Detalle!$D$2:$D$687,Detalle!$A$2:$A$687,$A322,Detalle!$C$2:$C$687,$B322)</f>
        <v>0.89149999999999996</v>
      </c>
      <c r="E322" s="5">
        <f>_xlfn.MINIFS(Detalle!$D$2:$D$687,Detalle!$A$2:$A$687,$A322,Detalle!$C$2:$C$687,$B322)</f>
        <v>0.85799999999999998</v>
      </c>
      <c r="F322" s="5">
        <f>_xlfn.MAXIFS(Detalle!$D$2:$D$687,Detalle!$A$2:$A$687,$A322,Detalle!$C$2:$C$687,$B322)</f>
        <v>0.92500000000000004</v>
      </c>
      <c r="G322" s="5">
        <f>AVERAGEIFS(Detalle!$F$2:$F$687,Detalle!$A$2:$A$687,$A322,Detalle!$C$2:$C$687,$B322)</f>
        <v>109.95099999999999</v>
      </c>
      <c r="H322" s="5">
        <f>_xlfn.MINIFS(Detalle!$F$2:$F$687,Detalle!$A$2:$A$687,$A322,Detalle!$C$2:$C$687,$B322)</f>
        <v>85</v>
      </c>
      <c r="I322" s="5">
        <f>_xlfn.MAXIFS(Detalle!$F$2:$F$687,Detalle!$A$2:$A$687,$A322,Detalle!$C$2:$C$687,$B322)</f>
        <v>121.104</v>
      </c>
    </row>
    <row r="323" spans="1:9" x14ac:dyDescent="0.25">
      <c r="A323" s="3">
        <v>14</v>
      </c>
      <c r="B323" s="3" t="s">
        <v>21</v>
      </c>
      <c r="C323" s="4">
        <f>COUNTIFS(Detalle!$A$2:$A$687,$A323,Detalle!$C$2:$C$687,$B323)</f>
        <v>2</v>
      </c>
      <c r="D323" s="5">
        <f>AVERAGEIFS(Detalle!$D$2:$D$687,Detalle!$A$2:$A$687,$A323,Detalle!$C$2:$C$687,$B323)</f>
        <v>0.88800000000000001</v>
      </c>
      <c r="E323" s="5">
        <f>_xlfn.MINIFS(Detalle!$D$2:$D$687,Detalle!$A$2:$A$687,$A323,Detalle!$C$2:$C$687,$B323)</f>
        <v>0.85099999999999998</v>
      </c>
      <c r="F323" s="5">
        <f>_xlfn.MAXIFS(Detalle!$D$2:$D$687,Detalle!$A$2:$A$687,$A323,Detalle!$C$2:$C$687,$B323)</f>
        <v>0.92500000000000004</v>
      </c>
      <c r="G323" s="5">
        <f>AVERAGEIFS(Detalle!$F$2:$F$687,Detalle!$A$2:$A$687,$A323,Detalle!$C$2:$C$687,$B323)</f>
        <v>112.619</v>
      </c>
      <c r="H323" s="5">
        <f>_xlfn.MINIFS(Detalle!$F$2:$F$687,Detalle!$A$2:$A$687,$A323,Detalle!$C$2:$C$687,$B323)</f>
        <v>103.64</v>
      </c>
      <c r="I323" s="5">
        <f>_xlfn.MAXIFS(Detalle!$F$2:$F$687,Detalle!$A$2:$A$687,$A323,Detalle!$C$2:$C$687,$B323)</f>
        <v>121.598</v>
      </c>
    </row>
    <row r="324" spans="1:9" x14ac:dyDescent="0.25">
      <c r="A324" s="3">
        <v>15</v>
      </c>
      <c r="B324" s="3" t="s">
        <v>38</v>
      </c>
      <c r="C324" s="4">
        <f>COUNTIFS(Detalle!$A$2:$A$687,$A324,Detalle!$C$2:$C$687,$B324)</f>
        <v>7</v>
      </c>
      <c r="D324" s="5">
        <f>AVERAGEIFS(Detalle!$D$2:$D$687,Detalle!$A$2:$A$687,$A324,Detalle!$C$2:$C$687,$B324)</f>
        <v>0.92585714285714282</v>
      </c>
      <c r="E324" s="5">
        <f>_xlfn.MINIFS(Detalle!$D$2:$D$687,Detalle!$A$2:$A$687,$A324,Detalle!$C$2:$C$687,$B324)</f>
        <v>0.78700000000000003</v>
      </c>
      <c r="F324" s="5">
        <f>_xlfn.MAXIFS(Detalle!$D$2:$D$687,Detalle!$A$2:$A$687,$A324,Detalle!$C$2:$C$687,$B324)</f>
        <v>0.99</v>
      </c>
      <c r="G324" s="5">
        <f>AVERAGEIFS(Detalle!$F$2:$F$687,Detalle!$A$2:$A$687,$A324,Detalle!$C$2:$C$687,$B324)</f>
        <v>116.18971428571429</v>
      </c>
      <c r="H324" s="5">
        <f>_xlfn.MINIFS(Detalle!$F$2:$F$687,Detalle!$A$2:$A$687,$A324,Detalle!$C$2:$C$687,$B324)</f>
        <v>86.908000000000001</v>
      </c>
      <c r="I324" s="5">
        <f>_xlfn.MAXIFS(Detalle!$F$2:$F$687,Detalle!$A$2:$A$687,$A324,Detalle!$C$2:$C$687,$B324)</f>
        <v>148.54599999999999</v>
      </c>
    </row>
    <row r="325" spans="1:9" x14ac:dyDescent="0.25">
      <c r="A325" s="3">
        <v>15</v>
      </c>
      <c r="B325" s="3" t="s">
        <v>23</v>
      </c>
      <c r="C325" s="4">
        <f>COUNTIFS(Detalle!$A$2:$A$687,$A325,Detalle!$C$2:$C$687,$B325)</f>
        <v>2</v>
      </c>
      <c r="D325" s="5">
        <f>AVERAGEIFS(Detalle!$D$2:$D$687,Detalle!$A$2:$A$687,$A325,Detalle!$C$2:$C$687,$B325)</f>
        <v>0.89700000000000002</v>
      </c>
      <c r="E325" s="5">
        <f>_xlfn.MINIFS(Detalle!$D$2:$D$687,Detalle!$A$2:$A$687,$A325,Detalle!$C$2:$C$687,$B325)</f>
        <v>0.86599999999999999</v>
      </c>
      <c r="F325" s="5">
        <f>_xlfn.MAXIFS(Detalle!$D$2:$D$687,Detalle!$A$2:$A$687,$A325,Detalle!$C$2:$C$687,$B325)</f>
        <v>0.92800000000000005</v>
      </c>
      <c r="G325" s="5">
        <f>AVERAGEIFS(Detalle!$F$2:$F$687,Detalle!$A$2:$A$687,$A325,Detalle!$C$2:$C$687,$B325)</f>
        <v>131.22649999999999</v>
      </c>
      <c r="H325" s="5">
        <f>_xlfn.MINIFS(Detalle!$F$2:$F$687,Detalle!$A$2:$A$687,$A325,Detalle!$C$2:$C$687,$B325)</f>
        <v>105.82599999999999</v>
      </c>
      <c r="I325" s="5">
        <f>_xlfn.MAXIFS(Detalle!$F$2:$F$687,Detalle!$A$2:$A$687,$A325,Detalle!$C$2:$C$687,$B325)</f>
        <v>156.62700000000001</v>
      </c>
    </row>
    <row r="326" spans="1:9" x14ac:dyDescent="0.25">
      <c r="A326" s="3">
        <v>15</v>
      </c>
      <c r="B326" s="3" t="s">
        <v>25</v>
      </c>
      <c r="C326" s="4">
        <f>COUNTIFS(Detalle!$A$2:$A$687,$A326,Detalle!$C$2:$C$687,$B326)</f>
        <v>1</v>
      </c>
      <c r="D326" s="5">
        <f>AVERAGEIFS(Detalle!$D$2:$D$687,Detalle!$A$2:$A$687,$A326,Detalle!$C$2:$C$687,$B326)</f>
        <v>0.80400000000000005</v>
      </c>
      <c r="E326" s="5">
        <f>_xlfn.MINIFS(Detalle!$D$2:$D$687,Detalle!$A$2:$A$687,$A326,Detalle!$C$2:$C$687,$B326)</f>
        <v>0.80400000000000005</v>
      </c>
      <c r="F326" s="5">
        <f>_xlfn.MAXIFS(Detalle!$D$2:$D$687,Detalle!$A$2:$A$687,$A326,Detalle!$C$2:$C$687,$B326)</f>
        <v>0.80400000000000005</v>
      </c>
      <c r="G326" s="5">
        <f>AVERAGEIFS(Detalle!$F$2:$F$687,Detalle!$A$2:$A$687,$A326,Detalle!$C$2:$C$687,$B326)</f>
        <v>139.845</v>
      </c>
      <c r="H326" s="5">
        <f>_xlfn.MINIFS(Detalle!$F$2:$F$687,Detalle!$A$2:$A$687,$A326,Detalle!$C$2:$C$687,$B326)</f>
        <v>139.845</v>
      </c>
      <c r="I326" s="5">
        <f>_xlfn.MAXIFS(Detalle!$F$2:$F$687,Detalle!$A$2:$A$687,$A326,Detalle!$C$2:$C$687,$B326)</f>
        <v>139.845</v>
      </c>
    </row>
    <row r="327" spans="1:9" x14ac:dyDescent="0.25">
      <c r="A327" s="3">
        <v>15</v>
      </c>
      <c r="B327" s="3" t="s">
        <v>31</v>
      </c>
      <c r="C327" s="4">
        <f>COUNTIFS(Detalle!$A$2:$A$687,$A327,Detalle!$C$2:$C$687,$B327)</f>
        <v>4</v>
      </c>
      <c r="D327" s="5">
        <f>AVERAGEIFS(Detalle!$D$2:$D$687,Detalle!$A$2:$A$687,$A327,Detalle!$C$2:$C$687,$B327)</f>
        <v>0.83499999999999996</v>
      </c>
      <c r="E327" s="5">
        <f>_xlfn.MINIFS(Detalle!$D$2:$D$687,Detalle!$A$2:$A$687,$A327,Detalle!$C$2:$C$687,$B327)</f>
        <v>0.77300000000000002</v>
      </c>
      <c r="F327" s="5">
        <f>_xlfn.MAXIFS(Detalle!$D$2:$D$687,Detalle!$A$2:$A$687,$A327,Detalle!$C$2:$C$687,$B327)</f>
        <v>0.89700000000000002</v>
      </c>
      <c r="G327" s="5">
        <f>AVERAGEIFS(Detalle!$F$2:$F$687,Detalle!$A$2:$A$687,$A327,Detalle!$C$2:$C$687,$B327)</f>
        <v>126.30699999999999</v>
      </c>
      <c r="H327" s="5">
        <f>_xlfn.MINIFS(Detalle!$F$2:$F$687,Detalle!$A$2:$A$687,$A327,Detalle!$C$2:$C$687,$B327)</f>
        <v>116.61</v>
      </c>
      <c r="I327" s="5">
        <f>_xlfn.MAXIFS(Detalle!$F$2:$F$687,Detalle!$A$2:$A$687,$A327,Detalle!$C$2:$C$687,$B327)</f>
        <v>132.482</v>
      </c>
    </row>
    <row r="328" spans="1:9" x14ac:dyDescent="0.25">
      <c r="A328" s="3">
        <v>15</v>
      </c>
      <c r="B328" s="3" t="s">
        <v>29</v>
      </c>
      <c r="C328" s="4">
        <f>COUNTIFS(Detalle!$A$2:$A$687,$A328,Detalle!$C$2:$C$687,$B328)</f>
        <v>2</v>
      </c>
      <c r="D328" s="5">
        <f>AVERAGEIFS(Detalle!$D$2:$D$687,Detalle!$A$2:$A$687,$A328,Detalle!$C$2:$C$687,$B328)</f>
        <v>0.8145</v>
      </c>
      <c r="E328" s="5">
        <f>_xlfn.MINIFS(Detalle!$D$2:$D$687,Detalle!$A$2:$A$687,$A328,Detalle!$C$2:$C$687,$B328)</f>
        <v>0.68799999999999994</v>
      </c>
      <c r="F328" s="5">
        <f>_xlfn.MAXIFS(Detalle!$D$2:$D$687,Detalle!$A$2:$A$687,$A328,Detalle!$C$2:$C$687,$B328)</f>
        <v>0.94099999999999995</v>
      </c>
      <c r="G328" s="5">
        <f>AVERAGEIFS(Detalle!$F$2:$F$687,Detalle!$A$2:$A$687,$A328,Detalle!$C$2:$C$687,$B328)</f>
        <v>130.81900000000002</v>
      </c>
      <c r="H328" s="5">
        <f>_xlfn.MINIFS(Detalle!$F$2:$F$687,Detalle!$A$2:$A$687,$A328,Detalle!$C$2:$C$687,$B328)</f>
        <v>118.27200000000001</v>
      </c>
      <c r="I328" s="5">
        <f>_xlfn.MAXIFS(Detalle!$F$2:$F$687,Detalle!$A$2:$A$687,$A328,Detalle!$C$2:$C$687,$B328)</f>
        <v>143.36600000000001</v>
      </c>
    </row>
    <row r="329" spans="1:9" x14ac:dyDescent="0.25">
      <c r="A329" s="3">
        <v>15</v>
      </c>
      <c r="B329" s="3" t="s">
        <v>22</v>
      </c>
      <c r="C329" s="4">
        <f>COUNTIFS(Detalle!$A$2:$A$687,$A329,Detalle!$C$2:$C$687,$B329)</f>
        <v>2</v>
      </c>
      <c r="D329" s="5">
        <f>AVERAGEIFS(Detalle!$D$2:$D$687,Detalle!$A$2:$A$687,$A329,Detalle!$C$2:$C$687,$B329)</f>
        <v>0.87850000000000006</v>
      </c>
      <c r="E329" s="5">
        <f>_xlfn.MINIFS(Detalle!$D$2:$D$687,Detalle!$A$2:$A$687,$A329,Detalle!$C$2:$C$687,$B329)</f>
        <v>0.86499999999999999</v>
      </c>
      <c r="F329" s="5">
        <f>_xlfn.MAXIFS(Detalle!$D$2:$D$687,Detalle!$A$2:$A$687,$A329,Detalle!$C$2:$C$687,$B329)</f>
        <v>0.89200000000000002</v>
      </c>
      <c r="G329" s="5">
        <f>AVERAGEIFS(Detalle!$F$2:$F$687,Detalle!$A$2:$A$687,$A329,Detalle!$C$2:$C$687,$B329)</f>
        <v>110.9675</v>
      </c>
      <c r="H329" s="5">
        <f>_xlfn.MINIFS(Detalle!$F$2:$F$687,Detalle!$A$2:$A$687,$A329,Detalle!$C$2:$C$687,$B329)</f>
        <v>110.649</v>
      </c>
      <c r="I329" s="5">
        <f>_xlfn.MAXIFS(Detalle!$F$2:$F$687,Detalle!$A$2:$A$687,$A329,Detalle!$C$2:$C$687,$B329)</f>
        <v>111.286</v>
      </c>
    </row>
    <row r="330" spans="1:9" x14ac:dyDescent="0.25">
      <c r="A330" s="3">
        <v>15</v>
      </c>
      <c r="B330" s="3" t="s">
        <v>26</v>
      </c>
      <c r="C330" s="4">
        <f>COUNTIFS(Detalle!$A$2:$A$687,$A330,Detalle!$C$2:$C$687,$B330)</f>
        <v>2</v>
      </c>
      <c r="D330" s="5">
        <f>AVERAGEIFS(Detalle!$D$2:$D$687,Detalle!$A$2:$A$687,$A330,Detalle!$C$2:$C$687,$B330)</f>
        <v>0.77849999999999997</v>
      </c>
      <c r="E330" s="5">
        <f>_xlfn.MINIFS(Detalle!$D$2:$D$687,Detalle!$A$2:$A$687,$A330,Detalle!$C$2:$C$687,$B330)</f>
        <v>0.70599999999999996</v>
      </c>
      <c r="F330" s="5">
        <f>_xlfn.MAXIFS(Detalle!$D$2:$D$687,Detalle!$A$2:$A$687,$A330,Detalle!$C$2:$C$687,$B330)</f>
        <v>0.85099999999999998</v>
      </c>
      <c r="G330" s="5">
        <f>AVERAGEIFS(Detalle!$F$2:$F$687,Detalle!$A$2:$A$687,$A330,Detalle!$C$2:$C$687,$B330)</f>
        <v>110.636</v>
      </c>
      <c r="H330" s="5">
        <f>_xlfn.MINIFS(Detalle!$F$2:$F$687,Detalle!$A$2:$A$687,$A330,Detalle!$C$2:$C$687,$B330)</f>
        <v>103.393</v>
      </c>
      <c r="I330" s="5">
        <f>_xlfn.MAXIFS(Detalle!$F$2:$F$687,Detalle!$A$2:$A$687,$A330,Detalle!$C$2:$C$687,$B330)</f>
        <v>117.879</v>
      </c>
    </row>
    <row r="331" spans="1:9" x14ac:dyDescent="0.25">
      <c r="A331" s="3">
        <v>15</v>
      </c>
      <c r="B331" s="3" t="s">
        <v>33</v>
      </c>
      <c r="C331" s="4">
        <f>COUNTIFS(Detalle!$A$2:$A$687,$A331,Detalle!$C$2:$C$687,$B331)</f>
        <v>1</v>
      </c>
      <c r="D331" s="5">
        <f>AVERAGEIFS(Detalle!$D$2:$D$687,Detalle!$A$2:$A$687,$A331,Detalle!$C$2:$C$687,$B331)</f>
        <v>0.83799999999999997</v>
      </c>
      <c r="E331" s="5">
        <f>_xlfn.MINIFS(Detalle!$D$2:$D$687,Detalle!$A$2:$A$687,$A331,Detalle!$C$2:$C$687,$B331)</f>
        <v>0.83799999999999997</v>
      </c>
      <c r="F331" s="5">
        <f>_xlfn.MAXIFS(Detalle!$D$2:$D$687,Detalle!$A$2:$A$687,$A331,Detalle!$C$2:$C$687,$B331)</f>
        <v>0.83799999999999997</v>
      </c>
      <c r="G331" s="5">
        <f>AVERAGEIFS(Detalle!$F$2:$F$687,Detalle!$A$2:$A$687,$A331,Detalle!$C$2:$C$687,$B331)</f>
        <v>140.815</v>
      </c>
      <c r="H331" s="5">
        <f>_xlfn.MINIFS(Detalle!$F$2:$F$687,Detalle!$A$2:$A$687,$A331,Detalle!$C$2:$C$687,$B331)</f>
        <v>140.815</v>
      </c>
      <c r="I331" s="5">
        <f>_xlfn.MAXIFS(Detalle!$F$2:$F$687,Detalle!$A$2:$A$687,$A331,Detalle!$C$2:$C$687,$B331)</f>
        <v>140.815</v>
      </c>
    </row>
    <row r="332" spans="1:9" x14ac:dyDescent="0.25">
      <c r="A332" s="3">
        <v>15</v>
      </c>
      <c r="B332" s="3" t="s">
        <v>30</v>
      </c>
      <c r="C332" s="4">
        <f>COUNTIFS(Detalle!$A$2:$A$687,$A332,Detalle!$C$2:$C$687,$B332)</f>
        <v>2</v>
      </c>
      <c r="D332" s="5">
        <f>AVERAGEIFS(Detalle!$D$2:$D$687,Detalle!$A$2:$A$687,$A332,Detalle!$C$2:$C$687,$B332)</f>
        <v>0.85899999999999999</v>
      </c>
      <c r="E332" s="5">
        <f>_xlfn.MINIFS(Detalle!$D$2:$D$687,Detalle!$A$2:$A$687,$A332,Detalle!$C$2:$C$687,$B332)</f>
        <v>0.85699999999999998</v>
      </c>
      <c r="F332" s="5">
        <f>_xlfn.MAXIFS(Detalle!$D$2:$D$687,Detalle!$A$2:$A$687,$A332,Detalle!$C$2:$C$687,$B332)</f>
        <v>0.86099999999999999</v>
      </c>
      <c r="G332" s="5">
        <f>AVERAGEIFS(Detalle!$F$2:$F$687,Detalle!$A$2:$A$687,$A332,Detalle!$C$2:$C$687,$B332)</f>
        <v>131.37200000000001</v>
      </c>
      <c r="H332" s="5">
        <f>_xlfn.MINIFS(Detalle!$F$2:$F$687,Detalle!$A$2:$A$687,$A332,Detalle!$C$2:$C$687,$B332)</f>
        <v>122.114</v>
      </c>
      <c r="I332" s="5">
        <f>_xlfn.MAXIFS(Detalle!$F$2:$F$687,Detalle!$A$2:$A$687,$A332,Detalle!$C$2:$C$687,$B332)</f>
        <v>140.63</v>
      </c>
    </row>
    <row r="333" spans="1:9" x14ac:dyDescent="0.25">
      <c r="A333" s="3">
        <v>15</v>
      </c>
      <c r="B333" s="3" t="s">
        <v>27</v>
      </c>
      <c r="C333" s="4">
        <f>COUNTIFS(Detalle!$A$2:$A$687,$A333,Detalle!$C$2:$C$687,$B333)</f>
        <v>4</v>
      </c>
      <c r="D333" s="5">
        <f>AVERAGEIFS(Detalle!$D$2:$D$687,Detalle!$A$2:$A$687,$A333,Detalle!$C$2:$C$687,$B333)</f>
        <v>0.91475000000000006</v>
      </c>
      <c r="E333" s="5">
        <f>_xlfn.MINIFS(Detalle!$D$2:$D$687,Detalle!$A$2:$A$687,$A333,Detalle!$C$2:$C$687,$B333)</f>
        <v>0.872</v>
      </c>
      <c r="F333" s="5">
        <f>_xlfn.MAXIFS(Detalle!$D$2:$D$687,Detalle!$A$2:$A$687,$A333,Detalle!$C$2:$C$687,$B333)</f>
        <v>0.97899999999999998</v>
      </c>
      <c r="G333" s="5">
        <f>AVERAGEIFS(Detalle!$F$2:$F$687,Detalle!$A$2:$A$687,$A333,Detalle!$C$2:$C$687,$B333)</f>
        <v>141.76300000000001</v>
      </c>
      <c r="H333" s="5">
        <f>_xlfn.MINIFS(Detalle!$F$2:$F$687,Detalle!$A$2:$A$687,$A333,Detalle!$C$2:$C$687,$B333)</f>
        <v>137.80600000000001</v>
      </c>
      <c r="I333" s="5">
        <f>_xlfn.MAXIFS(Detalle!$F$2:$F$687,Detalle!$A$2:$A$687,$A333,Detalle!$C$2:$C$687,$B333)</f>
        <v>149.90700000000001</v>
      </c>
    </row>
    <row r="334" spans="1:9" x14ac:dyDescent="0.25">
      <c r="A334" s="3">
        <v>15</v>
      </c>
      <c r="B334" s="3" t="s">
        <v>32</v>
      </c>
      <c r="C334" s="4">
        <f>COUNTIFS(Detalle!$A$2:$A$687,$A334,Detalle!$C$2:$C$687,$B334)</f>
        <v>3</v>
      </c>
      <c r="D334" s="5">
        <f>AVERAGEIFS(Detalle!$D$2:$D$687,Detalle!$A$2:$A$687,$A334,Detalle!$C$2:$C$687,$B334)</f>
        <v>0.81199999999999994</v>
      </c>
      <c r="E334" s="5">
        <f>_xlfn.MINIFS(Detalle!$D$2:$D$687,Detalle!$A$2:$A$687,$A334,Detalle!$C$2:$C$687,$B334)</f>
        <v>0.78</v>
      </c>
      <c r="F334" s="5">
        <f>_xlfn.MAXIFS(Detalle!$D$2:$D$687,Detalle!$A$2:$A$687,$A334,Detalle!$C$2:$C$687,$B334)</f>
        <v>0.83499999999999996</v>
      </c>
      <c r="G334" s="5">
        <f>AVERAGEIFS(Detalle!$F$2:$F$687,Detalle!$A$2:$A$687,$A334,Detalle!$C$2:$C$687,$B334)</f>
        <v>123.79699999999998</v>
      </c>
      <c r="H334" s="5">
        <f>_xlfn.MINIFS(Detalle!$F$2:$F$687,Detalle!$A$2:$A$687,$A334,Detalle!$C$2:$C$687,$B334)</f>
        <v>109.319</v>
      </c>
      <c r="I334" s="5">
        <f>_xlfn.MAXIFS(Detalle!$F$2:$F$687,Detalle!$A$2:$A$687,$A334,Detalle!$C$2:$C$687,$B334)</f>
        <v>133.78200000000001</v>
      </c>
    </row>
    <row r="335" spans="1:9" x14ac:dyDescent="0.25">
      <c r="A335" s="3">
        <v>15</v>
      </c>
      <c r="B335" s="3" t="s">
        <v>39</v>
      </c>
      <c r="C335" s="4">
        <f>COUNTIFS(Detalle!$A$2:$A$687,$A335,Detalle!$C$2:$C$687,$B335)</f>
        <v>3</v>
      </c>
      <c r="D335" s="5">
        <f>AVERAGEIFS(Detalle!$D$2:$D$687,Detalle!$A$2:$A$687,$A335,Detalle!$C$2:$C$687,$B335)</f>
        <v>0.8836666666666666</v>
      </c>
      <c r="E335" s="5">
        <f>_xlfn.MINIFS(Detalle!$D$2:$D$687,Detalle!$A$2:$A$687,$A335,Detalle!$C$2:$C$687,$B335)</f>
        <v>0.83199999999999996</v>
      </c>
      <c r="F335" s="5">
        <f>_xlfn.MAXIFS(Detalle!$D$2:$D$687,Detalle!$A$2:$A$687,$A335,Detalle!$C$2:$C$687,$B335)</f>
        <v>0.98099999999999998</v>
      </c>
      <c r="G335" s="5">
        <f>AVERAGEIFS(Detalle!$F$2:$F$687,Detalle!$A$2:$A$687,$A335,Detalle!$C$2:$C$687,$B335)</f>
        <v>130.42766666666668</v>
      </c>
      <c r="H335" s="5">
        <f>_xlfn.MINIFS(Detalle!$F$2:$F$687,Detalle!$A$2:$A$687,$A335,Detalle!$C$2:$C$687,$B335)</f>
        <v>102.81399999999999</v>
      </c>
      <c r="I335" s="5">
        <f>_xlfn.MAXIFS(Detalle!$F$2:$F$687,Detalle!$A$2:$A$687,$A335,Detalle!$C$2:$C$687,$B335)</f>
        <v>148.077</v>
      </c>
    </row>
    <row r="336" spans="1:9" x14ac:dyDescent="0.25">
      <c r="A336" s="3">
        <v>15</v>
      </c>
      <c r="B336" s="3" t="s">
        <v>19</v>
      </c>
      <c r="C336" s="4">
        <f>COUNTIFS(Detalle!$A$2:$A$687,$A336,Detalle!$C$2:$C$687,$B336)</f>
        <v>1</v>
      </c>
      <c r="D336" s="5">
        <f>AVERAGEIFS(Detalle!$D$2:$D$687,Detalle!$A$2:$A$687,$A336,Detalle!$C$2:$C$687,$B336)</f>
        <v>0.94399999999999995</v>
      </c>
      <c r="E336" s="5">
        <f>_xlfn.MINIFS(Detalle!$D$2:$D$687,Detalle!$A$2:$A$687,$A336,Detalle!$C$2:$C$687,$B336)</f>
        <v>0.94399999999999995</v>
      </c>
      <c r="F336" s="5">
        <f>_xlfn.MAXIFS(Detalle!$D$2:$D$687,Detalle!$A$2:$A$687,$A336,Detalle!$C$2:$C$687,$B336)</f>
        <v>0.94399999999999995</v>
      </c>
      <c r="G336" s="5">
        <f>AVERAGEIFS(Detalle!$F$2:$F$687,Detalle!$A$2:$A$687,$A336,Detalle!$C$2:$C$687,$B336)</f>
        <v>113.79</v>
      </c>
      <c r="H336" s="5">
        <f>_xlfn.MINIFS(Detalle!$F$2:$F$687,Detalle!$A$2:$A$687,$A336,Detalle!$C$2:$C$687,$B336)</f>
        <v>113.79</v>
      </c>
      <c r="I336" s="5">
        <f>_xlfn.MAXIFS(Detalle!$F$2:$F$687,Detalle!$A$2:$A$687,$A336,Detalle!$C$2:$C$687,$B336)</f>
        <v>113.79</v>
      </c>
    </row>
    <row r="337" spans="1:9" x14ac:dyDescent="0.25">
      <c r="A337" s="3">
        <v>15</v>
      </c>
      <c r="B337" s="3" t="s">
        <v>36</v>
      </c>
      <c r="C337" s="4">
        <f>COUNTIFS(Detalle!$A$2:$A$687,$A337,Detalle!$C$2:$C$687,$B337)</f>
        <v>6</v>
      </c>
      <c r="D337" s="5">
        <f>AVERAGEIFS(Detalle!$D$2:$D$687,Detalle!$A$2:$A$687,$A337,Detalle!$C$2:$C$687,$B337)</f>
        <v>0.8886666666666666</v>
      </c>
      <c r="E337" s="5">
        <f>_xlfn.MINIFS(Detalle!$D$2:$D$687,Detalle!$A$2:$A$687,$A337,Detalle!$C$2:$C$687,$B337)</f>
        <v>0.81399999999999995</v>
      </c>
      <c r="F337" s="5">
        <f>_xlfn.MAXIFS(Detalle!$D$2:$D$687,Detalle!$A$2:$A$687,$A337,Detalle!$C$2:$C$687,$B337)</f>
        <v>0.95899999999999996</v>
      </c>
      <c r="G337" s="5">
        <f>AVERAGEIFS(Detalle!$F$2:$F$687,Detalle!$A$2:$A$687,$A337,Detalle!$C$2:$C$687,$B337)</f>
        <v>112.39749999999999</v>
      </c>
      <c r="H337" s="5">
        <f>_xlfn.MINIFS(Detalle!$F$2:$F$687,Detalle!$A$2:$A$687,$A337,Detalle!$C$2:$C$687,$B337)</f>
        <v>85.757000000000005</v>
      </c>
      <c r="I337" s="5">
        <f>_xlfn.MAXIFS(Detalle!$F$2:$F$687,Detalle!$A$2:$A$687,$A337,Detalle!$C$2:$C$687,$B337)</f>
        <v>143.249</v>
      </c>
    </row>
    <row r="338" spans="1:9" x14ac:dyDescent="0.25">
      <c r="A338" s="3">
        <v>15</v>
      </c>
      <c r="B338" s="3" t="s">
        <v>15</v>
      </c>
      <c r="C338" s="4">
        <f>COUNTIFS(Detalle!$A$2:$A$687,$A338,Detalle!$C$2:$C$687,$B338)</f>
        <v>1</v>
      </c>
      <c r="D338" s="5">
        <f>AVERAGEIFS(Detalle!$D$2:$D$687,Detalle!$A$2:$A$687,$A338,Detalle!$C$2:$C$687,$B338)</f>
        <v>0.83699999999999997</v>
      </c>
      <c r="E338" s="5">
        <f>_xlfn.MINIFS(Detalle!$D$2:$D$687,Detalle!$A$2:$A$687,$A338,Detalle!$C$2:$C$687,$B338)</f>
        <v>0.83699999999999997</v>
      </c>
      <c r="F338" s="5">
        <f>_xlfn.MAXIFS(Detalle!$D$2:$D$687,Detalle!$A$2:$A$687,$A338,Detalle!$C$2:$C$687,$B338)</f>
        <v>0.83699999999999997</v>
      </c>
      <c r="G338" s="5">
        <f>AVERAGEIFS(Detalle!$F$2:$F$687,Detalle!$A$2:$A$687,$A338,Detalle!$C$2:$C$687,$B338)</f>
        <v>158.042</v>
      </c>
      <c r="H338" s="5">
        <f>_xlfn.MINIFS(Detalle!$F$2:$F$687,Detalle!$A$2:$A$687,$A338,Detalle!$C$2:$C$687,$B338)</f>
        <v>158.042</v>
      </c>
      <c r="I338" s="5">
        <f>_xlfn.MAXIFS(Detalle!$F$2:$F$687,Detalle!$A$2:$A$687,$A338,Detalle!$C$2:$C$687,$B338)</f>
        <v>158.042</v>
      </c>
    </row>
    <row r="339" spans="1:9" x14ac:dyDescent="0.25">
      <c r="A339" s="3">
        <v>15</v>
      </c>
      <c r="B339" s="3" t="s">
        <v>18</v>
      </c>
      <c r="C339" s="4">
        <f>COUNTIFS(Detalle!$A$2:$A$687,$A339,Detalle!$C$2:$C$687,$B339)</f>
        <v>3</v>
      </c>
      <c r="D339" s="5">
        <f>AVERAGEIFS(Detalle!$D$2:$D$687,Detalle!$A$2:$A$687,$A339,Detalle!$C$2:$C$687,$B339)</f>
        <v>0.80600000000000005</v>
      </c>
      <c r="E339" s="5">
        <f>_xlfn.MINIFS(Detalle!$D$2:$D$687,Detalle!$A$2:$A$687,$A339,Detalle!$C$2:$C$687,$B339)</f>
        <v>0.67900000000000005</v>
      </c>
      <c r="F339" s="5">
        <f>_xlfn.MAXIFS(Detalle!$D$2:$D$687,Detalle!$A$2:$A$687,$A339,Detalle!$C$2:$C$687,$B339)</f>
        <v>0.88800000000000001</v>
      </c>
      <c r="G339" s="5">
        <f>AVERAGEIFS(Detalle!$F$2:$F$687,Detalle!$A$2:$A$687,$A339,Detalle!$C$2:$C$687,$B339)</f>
        <v>129.14033333333333</v>
      </c>
      <c r="H339" s="5">
        <f>_xlfn.MINIFS(Detalle!$F$2:$F$687,Detalle!$A$2:$A$687,$A339,Detalle!$C$2:$C$687,$B339)</f>
        <v>110.91</v>
      </c>
      <c r="I339" s="5">
        <f>_xlfn.MAXIFS(Detalle!$F$2:$F$687,Detalle!$A$2:$A$687,$A339,Detalle!$C$2:$C$687,$B339)</f>
        <v>150.85</v>
      </c>
    </row>
    <row r="340" spans="1:9" x14ac:dyDescent="0.25">
      <c r="A340" s="3">
        <v>15</v>
      </c>
      <c r="B340" s="3" t="s">
        <v>34</v>
      </c>
      <c r="C340" s="4">
        <f>COUNTIFS(Detalle!$A$2:$A$687,$A340,Detalle!$C$2:$C$687,$B340)</f>
        <v>1</v>
      </c>
      <c r="D340" s="5">
        <f>AVERAGEIFS(Detalle!$D$2:$D$687,Detalle!$A$2:$A$687,$A340,Detalle!$C$2:$C$687,$B340)</f>
        <v>0.83099999999999996</v>
      </c>
      <c r="E340" s="5">
        <f>_xlfn.MINIFS(Detalle!$D$2:$D$687,Detalle!$A$2:$A$687,$A340,Detalle!$C$2:$C$687,$B340)</f>
        <v>0.83099999999999996</v>
      </c>
      <c r="F340" s="5">
        <f>_xlfn.MAXIFS(Detalle!$D$2:$D$687,Detalle!$A$2:$A$687,$A340,Detalle!$C$2:$C$687,$B340)</f>
        <v>0.83099999999999996</v>
      </c>
      <c r="G340" s="5">
        <f>AVERAGEIFS(Detalle!$F$2:$F$687,Detalle!$A$2:$A$687,$A340,Detalle!$C$2:$C$687,$B340)</f>
        <v>119.744</v>
      </c>
      <c r="H340" s="5">
        <f>_xlfn.MINIFS(Detalle!$F$2:$F$687,Detalle!$A$2:$A$687,$A340,Detalle!$C$2:$C$687,$B340)</f>
        <v>119.744</v>
      </c>
      <c r="I340" s="5">
        <f>_xlfn.MAXIFS(Detalle!$F$2:$F$687,Detalle!$A$2:$A$687,$A340,Detalle!$C$2:$C$687,$B340)</f>
        <v>119.744</v>
      </c>
    </row>
    <row r="341" spans="1:9" x14ac:dyDescent="0.25">
      <c r="A341" s="3">
        <v>15</v>
      </c>
      <c r="B341" s="3" t="s">
        <v>13</v>
      </c>
      <c r="C341" s="4">
        <f>COUNTIFS(Detalle!$A$2:$A$687,$A341,Detalle!$C$2:$C$687,$B341)</f>
        <v>1</v>
      </c>
      <c r="D341" s="5">
        <f>AVERAGEIFS(Detalle!$D$2:$D$687,Detalle!$A$2:$A$687,$A341,Detalle!$C$2:$C$687,$B341)</f>
        <v>0.83299999999999996</v>
      </c>
      <c r="E341" s="5">
        <f>_xlfn.MINIFS(Detalle!$D$2:$D$687,Detalle!$A$2:$A$687,$A341,Detalle!$C$2:$C$687,$B341)</f>
        <v>0.83299999999999996</v>
      </c>
      <c r="F341" s="5">
        <f>_xlfn.MAXIFS(Detalle!$D$2:$D$687,Detalle!$A$2:$A$687,$A341,Detalle!$C$2:$C$687,$B341)</f>
        <v>0.83299999999999996</v>
      </c>
      <c r="G341" s="5">
        <f>AVERAGEIFS(Detalle!$F$2:$F$687,Detalle!$A$2:$A$687,$A341,Detalle!$C$2:$C$687,$B341)</f>
        <v>113.59099999999999</v>
      </c>
      <c r="H341" s="5">
        <f>_xlfn.MINIFS(Detalle!$F$2:$F$687,Detalle!$A$2:$A$687,$A341,Detalle!$C$2:$C$687,$B341)</f>
        <v>113.59099999999999</v>
      </c>
      <c r="I341" s="5">
        <f>_xlfn.MAXIFS(Detalle!$F$2:$F$687,Detalle!$A$2:$A$687,$A341,Detalle!$C$2:$C$687,$B341)</f>
        <v>113.59099999999999</v>
      </c>
    </row>
    <row r="342" spans="1:9" x14ac:dyDescent="0.25">
      <c r="A342" s="3">
        <v>15</v>
      </c>
      <c r="B342" s="3" t="s">
        <v>28</v>
      </c>
      <c r="C342" s="4">
        <f>COUNTIFS(Detalle!$A$2:$A$687,$A342,Detalle!$C$2:$C$687,$B342)</f>
        <v>3</v>
      </c>
      <c r="D342" s="5">
        <f>AVERAGEIFS(Detalle!$D$2:$D$687,Detalle!$A$2:$A$687,$A342,Detalle!$C$2:$C$687,$B342)</f>
        <v>0.86833333333333329</v>
      </c>
      <c r="E342" s="5">
        <f>_xlfn.MINIFS(Detalle!$D$2:$D$687,Detalle!$A$2:$A$687,$A342,Detalle!$C$2:$C$687,$B342)</f>
        <v>0.82899999999999996</v>
      </c>
      <c r="F342" s="5">
        <f>_xlfn.MAXIFS(Detalle!$D$2:$D$687,Detalle!$A$2:$A$687,$A342,Detalle!$C$2:$C$687,$B342)</f>
        <v>0.89500000000000002</v>
      </c>
      <c r="G342" s="5">
        <f>AVERAGEIFS(Detalle!$F$2:$F$687,Detalle!$A$2:$A$687,$A342,Detalle!$C$2:$C$687,$B342)</f>
        <v>103.33133333333335</v>
      </c>
      <c r="H342" s="5">
        <f>_xlfn.MINIFS(Detalle!$F$2:$F$687,Detalle!$A$2:$A$687,$A342,Detalle!$C$2:$C$687,$B342)</f>
        <v>96.984999999999999</v>
      </c>
      <c r="I342" s="5">
        <f>_xlfn.MAXIFS(Detalle!$F$2:$F$687,Detalle!$A$2:$A$687,$A342,Detalle!$C$2:$C$687,$B342)</f>
        <v>106.706</v>
      </c>
    </row>
    <row r="343" spans="1:9" x14ac:dyDescent="0.25">
      <c r="A343" s="3">
        <v>15</v>
      </c>
      <c r="B343" s="3" t="s">
        <v>37</v>
      </c>
      <c r="C343" s="4">
        <f>COUNTIFS(Detalle!$A$2:$A$687,$A343,Detalle!$C$2:$C$687,$B343)</f>
        <v>1</v>
      </c>
      <c r="D343" s="5">
        <f>AVERAGEIFS(Detalle!$D$2:$D$687,Detalle!$A$2:$A$687,$A343,Detalle!$C$2:$C$687,$B343)</f>
        <v>0.84299999999999997</v>
      </c>
      <c r="E343" s="5">
        <f>_xlfn.MINIFS(Detalle!$D$2:$D$687,Detalle!$A$2:$A$687,$A343,Detalle!$C$2:$C$687,$B343)</f>
        <v>0.84299999999999997</v>
      </c>
      <c r="F343" s="5">
        <f>_xlfn.MAXIFS(Detalle!$D$2:$D$687,Detalle!$A$2:$A$687,$A343,Detalle!$C$2:$C$687,$B343)</f>
        <v>0.84299999999999997</v>
      </c>
      <c r="G343" s="5">
        <f>AVERAGEIFS(Detalle!$F$2:$F$687,Detalle!$A$2:$A$687,$A343,Detalle!$C$2:$C$687,$B343)</f>
        <v>132.63200000000001</v>
      </c>
      <c r="H343" s="5">
        <f>_xlfn.MINIFS(Detalle!$F$2:$F$687,Detalle!$A$2:$A$687,$A343,Detalle!$C$2:$C$687,$B343)</f>
        <v>132.63200000000001</v>
      </c>
      <c r="I343" s="5">
        <f>_xlfn.MAXIFS(Detalle!$F$2:$F$687,Detalle!$A$2:$A$687,$A343,Detalle!$C$2:$C$687,$B343)</f>
        <v>132.63200000000001</v>
      </c>
    </row>
    <row r="344" spans="1:9" x14ac:dyDescent="0.25">
      <c r="A344" s="3">
        <v>15</v>
      </c>
      <c r="B344" s="3" t="s">
        <v>21</v>
      </c>
      <c r="C344" s="4">
        <f>COUNTIFS(Detalle!$A$2:$A$687,$A344,Detalle!$C$2:$C$687,$B344)</f>
        <v>1</v>
      </c>
      <c r="D344" s="5">
        <f>AVERAGEIFS(Detalle!$D$2:$D$687,Detalle!$A$2:$A$687,$A344,Detalle!$C$2:$C$687,$B344)</f>
        <v>0.871</v>
      </c>
      <c r="E344" s="5">
        <f>_xlfn.MINIFS(Detalle!$D$2:$D$687,Detalle!$A$2:$A$687,$A344,Detalle!$C$2:$C$687,$B344)</f>
        <v>0.871</v>
      </c>
      <c r="F344" s="5">
        <f>_xlfn.MAXIFS(Detalle!$D$2:$D$687,Detalle!$A$2:$A$687,$A344,Detalle!$C$2:$C$687,$B344)</f>
        <v>0.871</v>
      </c>
      <c r="G344" s="5">
        <f>AVERAGEIFS(Detalle!$F$2:$F$687,Detalle!$A$2:$A$687,$A344,Detalle!$C$2:$C$687,$B344)</f>
        <v>115.771</v>
      </c>
      <c r="H344" s="5">
        <f>_xlfn.MINIFS(Detalle!$F$2:$F$687,Detalle!$A$2:$A$687,$A344,Detalle!$C$2:$C$687,$B344)</f>
        <v>115.771</v>
      </c>
      <c r="I344" s="5">
        <f>_xlfn.MAXIFS(Detalle!$F$2:$F$687,Detalle!$A$2:$A$687,$A344,Detalle!$C$2:$C$687,$B344)</f>
        <v>115.771</v>
      </c>
    </row>
    <row r="345" spans="1:9" x14ac:dyDescent="0.25">
      <c r="A345" s="3">
        <v>15</v>
      </c>
      <c r="B345" s="3" t="s">
        <v>20</v>
      </c>
      <c r="C345" s="4">
        <f>COUNTIFS(Detalle!$A$2:$A$687,$A345,Detalle!$C$2:$C$687,$B345)</f>
        <v>2</v>
      </c>
      <c r="D345" s="5">
        <f>AVERAGEIFS(Detalle!$D$2:$D$687,Detalle!$A$2:$A$687,$A345,Detalle!$C$2:$C$687,$B345)</f>
        <v>0.94</v>
      </c>
      <c r="E345" s="5">
        <f>_xlfn.MINIFS(Detalle!$D$2:$D$687,Detalle!$A$2:$A$687,$A345,Detalle!$C$2:$C$687,$B345)</f>
        <v>0.93100000000000005</v>
      </c>
      <c r="F345" s="5">
        <f>_xlfn.MAXIFS(Detalle!$D$2:$D$687,Detalle!$A$2:$A$687,$A345,Detalle!$C$2:$C$687,$B345)</f>
        <v>0.94899999999999995</v>
      </c>
      <c r="G345" s="5">
        <f>AVERAGEIFS(Detalle!$F$2:$F$687,Detalle!$A$2:$A$687,$A345,Detalle!$C$2:$C$687,$B345)</f>
        <v>159.44</v>
      </c>
      <c r="H345" s="5">
        <f>_xlfn.MINIFS(Detalle!$F$2:$F$687,Detalle!$A$2:$A$687,$A345,Detalle!$C$2:$C$687,$B345)</f>
        <v>143.78100000000001</v>
      </c>
      <c r="I345" s="5">
        <f>_xlfn.MAXIFS(Detalle!$F$2:$F$687,Detalle!$A$2:$A$687,$A345,Detalle!$C$2:$C$687,$B345)</f>
        <v>175.09899999999999</v>
      </c>
    </row>
    <row r="347" spans="1:9" x14ac:dyDescent="0.25">
      <c r="A347" s="2" t="s">
        <v>65</v>
      </c>
      <c r="F347" s="1">
        <f>SUM(C2:C345)</f>
        <v>686</v>
      </c>
    </row>
    <row r="348" spans="1:9" x14ac:dyDescent="0.25">
      <c r="A348" s="2" t="s">
        <v>66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tabSelected="1" zoomScaleNormal="100" workbookViewId="0">
      <selection activeCell="D9" sqref="D9"/>
    </sheetView>
  </sheetViews>
  <sheetFormatPr baseColWidth="10" defaultColWidth="8.7109375" defaultRowHeight="15" x14ac:dyDescent="0.25"/>
  <cols>
    <col min="1" max="1" width="71.28515625" bestFit="1" customWidth="1"/>
    <col min="2" max="2" width="14" customWidth="1"/>
    <col min="3" max="3" width="20" customWidth="1"/>
    <col min="4" max="4" width="81" bestFit="1" customWidth="1"/>
  </cols>
  <sheetData>
    <row r="1" spans="1:4" ht="16.5" customHeight="1" x14ac:dyDescent="0.25">
      <c r="A1" s="22" t="s">
        <v>88</v>
      </c>
      <c r="B1" s="22"/>
      <c r="C1" s="22"/>
      <c r="D1" s="22"/>
    </row>
    <row r="2" spans="1:4" x14ac:dyDescent="0.25">
      <c r="A2" s="23"/>
      <c r="B2" s="23"/>
      <c r="C2" s="23"/>
      <c r="D2" s="23"/>
    </row>
    <row r="3" spans="1:4" x14ac:dyDescent="0.25">
      <c r="A3" s="14" t="s">
        <v>67</v>
      </c>
      <c r="B3" s="14" t="s">
        <v>68</v>
      </c>
      <c r="C3" s="14" t="s">
        <v>69</v>
      </c>
      <c r="D3" s="14" t="s">
        <v>70</v>
      </c>
    </row>
    <row r="4" spans="1:4" x14ac:dyDescent="0.25">
      <c r="A4" s="15" t="s">
        <v>90</v>
      </c>
      <c r="B4" s="16">
        <f>SUM(Detalle!$H$2:$H$687)/COUNTA(Detalle!$A$2:$A$687)*100</f>
        <v>85.568513119533534</v>
      </c>
      <c r="C4" s="17" t="s">
        <v>71</v>
      </c>
      <c r="D4" s="17" t="s">
        <v>72</v>
      </c>
    </row>
    <row r="5" spans="1:4" x14ac:dyDescent="0.25">
      <c r="A5" s="15" t="s">
        <v>91</v>
      </c>
      <c r="B5" s="16">
        <f>B11/B10*100</f>
        <v>81.777777777777786</v>
      </c>
      <c r="C5" s="17" t="s">
        <v>71</v>
      </c>
      <c r="D5" s="17" t="s">
        <v>73</v>
      </c>
    </row>
    <row r="6" spans="1:4" x14ac:dyDescent="0.25">
      <c r="A6" s="15" t="s">
        <v>92</v>
      </c>
      <c r="B6" s="16">
        <f>AVERAGE(Detalle!$F$2:$F$687)</f>
        <v>122.36781341107873</v>
      </c>
      <c r="C6" s="17" t="s">
        <v>74</v>
      </c>
      <c r="D6" s="17" t="s">
        <v>75</v>
      </c>
    </row>
    <row r="7" spans="1:4" x14ac:dyDescent="0.25">
      <c r="A7" s="15" t="s">
        <v>93</v>
      </c>
      <c r="B7" s="16">
        <f>COUNTIF(Detalle!$H$2:$H$687,0)/COUNTA(Detalle!$A$2:$A$687)*100</f>
        <v>14.431486880466474</v>
      </c>
      <c r="C7" s="17" t="s">
        <v>71</v>
      </c>
      <c r="D7" s="17" t="s">
        <v>76</v>
      </c>
    </row>
    <row r="9" spans="1:4" x14ac:dyDescent="0.25">
      <c r="A9" s="20" t="s">
        <v>89</v>
      </c>
      <c r="B9" s="21"/>
    </row>
    <row r="10" spans="1:4" x14ac:dyDescent="0.25">
      <c r="A10" s="17" t="s">
        <v>77</v>
      </c>
      <c r="B10" s="17">
        <f>COUNT(Detalle!$K$2:$K$687)</f>
        <v>225</v>
      </c>
    </row>
    <row r="11" spans="1:4" x14ac:dyDescent="0.25">
      <c r="A11" s="17" t="s">
        <v>78</v>
      </c>
      <c r="B11" s="17">
        <f>SUM(Detalle!$K$2:$K$687)</f>
        <v>184</v>
      </c>
    </row>
    <row r="12" spans="1:4" x14ac:dyDescent="0.25">
      <c r="A12" s="17" t="s">
        <v>79</v>
      </c>
      <c r="B12" s="18">
        <f>B4+B7</f>
        <v>100.00000000000001</v>
      </c>
    </row>
    <row r="14" spans="1:4" x14ac:dyDescent="0.25">
      <c r="A14" s="19" t="s">
        <v>80</v>
      </c>
      <c r="B14" s="19"/>
    </row>
    <row r="15" spans="1:4" x14ac:dyDescent="0.25">
      <c r="A15" s="14" t="s">
        <v>81</v>
      </c>
      <c r="B15" s="14" t="s">
        <v>82</v>
      </c>
      <c r="C15" s="14" t="s">
        <v>83</v>
      </c>
      <c r="D15" s="14" t="s">
        <v>84</v>
      </c>
    </row>
    <row r="16" spans="1:4" x14ac:dyDescent="0.25">
      <c r="A16" s="17" t="s">
        <v>85</v>
      </c>
      <c r="B16" s="17">
        <f>COUNTIF(Detalle!$E$2:$E$687,"EST")</f>
        <v>618</v>
      </c>
      <c r="C16" s="18">
        <f>SUMIFS(Detalle!$H$2:$H$687,Detalle!$E$2:$E$687,"EST")/B16*100</f>
        <v>85.760517799352755</v>
      </c>
      <c r="D16" s="18">
        <f>AVERAGEIFS(Detalle!$F$2:$F$687,Detalle!$E$2:$E$687,"EST")</f>
        <v>120.04035760517793</v>
      </c>
    </row>
    <row r="17" spans="1:4" x14ac:dyDescent="0.25">
      <c r="A17" s="17" t="s">
        <v>86</v>
      </c>
      <c r="B17" s="17">
        <f>COUNTIF(Detalle!$E$2:$E$687,"DIN")</f>
        <v>68</v>
      </c>
      <c r="C17" s="18">
        <f>SUMIFS(Detalle!$H$2:$H$687,Detalle!$E$2:$E$687,"DIN")/B17*100</f>
        <v>83.82352941176471</v>
      </c>
      <c r="D17" s="18">
        <f>AVERAGEIFS(Detalle!$F$2:$F$687,Detalle!$E$2:$E$687,"DIN")</f>
        <v>143.5202794117647</v>
      </c>
    </row>
    <row r="19" spans="1:4" x14ac:dyDescent="0.25">
      <c r="A19" s="2" t="s">
        <v>87</v>
      </c>
    </row>
  </sheetData>
  <mergeCells count="2">
    <mergeCell ref="A9:B9"/>
    <mergeCell ref="A1:D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</vt:lpstr>
      <vt:lpstr>Tabla_General</vt:lpstr>
      <vt:lpstr>Tabla_Por_Letra</vt:lpstr>
      <vt:lpstr>Metricas_Tesis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Fabián Chikinta</dc:creator>
  <dc:description/>
  <cp:lastModifiedBy>Fabián Chikinta</cp:lastModifiedBy>
  <cp:revision>0</cp:revision>
  <dcterms:created xsi:type="dcterms:W3CDTF">2026-09-19T21:41:33Z</dcterms:created>
  <dcterms:modified xsi:type="dcterms:W3CDTF">2026-09-20T21:16:18Z</dcterms:modified>
  <dc:language>en-US</dc:language>
</cp:coreProperties>
</file>