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05be1e889179d8cd/Documentos/FABIAN/TRABAJO DE TESIS/Entrega Semana 20/"/>
    </mc:Choice>
  </mc:AlternateContent>
  <xr:revisionPtr revIDLastSave="16" documentId="13_ncr:1_{52E74414-058B-485A-AE2B-F65AFDE55BE9}" xr6:coauthVersionLast="47" xr6:coauthVersionMax="47" xr10:uidLastSave="{EF405E22-E2BB-497C-93C6-29C7822E59D8}"/>
  <bookViews>
    <workbookView xWindow="-120" yWindow="-120" windowWidth="20730" windowHeight="11040" activeTab="2" xr2:uid="{00000000-000D-0000-FFFF-FFFF00000000}"/>
  </bookViews>
  <sheets>
    <sheet name="ASIS_Detalle" sheetId="2" r:id="rId1"/>
    <sheet name="Resumen_ASIS" sheetId="3" r:id="rId2"/>
    <sheet name="Comparacion_TOBE"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1" i="4" l="1"/>
  <c r="E6" i="2"/>
  <c r="E2" i="2"/>
  <c r="F5" i="3"/>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3" i="2"/>
  <c r="H4" i="2"/>
  <c r="H5" i="2"/>
  <c r="H6" i="2"/>
  <c r="H7" i="2"/>
  <c r="H8" i="2"/>
  <c r="H9" i="2"/>
  <c r="H10" i="2"/>
  <c r="H11" i="2"/>
  <c r="H2" i="2"/>
  <c r="B27" i="3" s="1"/>
  <c r="K19" i="4" l="1"/>
  <c r="K18" i="4"/>
  <c r="K17" i="4"/>
  <c r="K16" i="4"/>
  <c r="K15" i="4"/>
  <c r="K14" i="4"/>
  <c r="K13" i="4"/>
  <c r="K12" i="4"/>
  <c r="K11" i="4"/>
  <c r="K10" i="4"/>
  <c r="K9" i="4"/>
  <c r="K8" i="4"/>
  <c r="K7" i="4"/>
  <c r="K6" i="4"/>
  <c r="K5" i="4"/>
  <c r="F19" i="3"/>
  <c r="G19" i="3" s="1"/>
  <c r="C19" i="3"/>
  <c r="F18" i="3"/>
  <c r="G18" i="3" s="1"/>
  <c r="C18" i="3"/>
  <c r="F17" i="3"/>
  <c r="G17" i="3" s="1"/>
  <c r="C17" i="3"/>
  <c r="F16" i="3"/>
  <c r="G16" i="3" s="1"/>
  <c r="C16" i="3"/>
  <c r="F15" i="3"/>
  <c r="G15" i="3" s="1"/>
  <c r="C15" i="3"/>
  <c r="F14" i="3"/>
  <c r="C14" i="3"/>
  <c r="F13" i="3"/>
  <c r="G13" i="3" s="1"/>
  <c r="C13" i="3"/>
  <c r="F12" i="3"/>
  <c r="G12" i="3" s="1"/>
  <c r="C12" i="3"/>
  <c r="F11" i="3"/>
  <c r="G11" i="3" s="1"/>
  <c r="C11" i="3"/>
  <c r="F10" i="3"/>
  <c r="C10" i="3"/>
  <c r="F9" i="3"/>
  <c r="G9" i="3" s="1"/>
  <c r="C9" i="3"/>
  <c r="F8" i="3"/>
  <c r="G8" i="3" s="1"/>
  <c r="C8" i="3"/>
  <c r="F7" i="3"/>
  <c r="G7" i="3" s="1"/>
  <c r="C7" i="3"/>
  <c r="F6" i="3"/>
  <c r="G6" i="3" s="1"/>
  <c r="C6" i="3"/>
  <c r="C5" i="3"/>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5" i="2"/>
  <c r="E4" i="2"/>
  <c r="E3" i="2"/>
  <c r="D11" i="3" l="1"/>
  <c r="E11" i="3" s="1"/>
  <c r="E11" i="4" s="1"/>
  <c r="D15" i="3"/>
  <c r="E15" i="3" s="1"/>
  <c r="E15" i="4" s="1"/>
  <c r="D19" i="3"/>
  <c r="E19" i="3" s="1"/>
  <c r="E19" i="4" s="1"/>
  <c r="D6" i="3"/>
  <c r="E6" i="3" s="1"/>
  <c r="E6" i="4" s="1"/>
  <c r="D7" i="3"/>
  <c r="E7" i="3" s="1"/>
  <c r="E7" i="4" s="1"/>
  <c r="D10" i="3"/>
  <c r="E10" i="3" s="1"/>
  <c r="E10" i="4" s="1"/>
  <c r="D14" i="3"/>
  <c r="E14" i="3" s="1"/>
  <c r="E14" i="4" s="1"/>
  <c r="D18" i="3"/>
  <c r="E18" i="3" s="1"/>
  <c r="E18" i="4" s="1"/>
  <c r="L18" i="4" s="1"/>
  <c r="H11" i="3"/>
  <c r="D17" i="3"/>
  <c r="E17" i="3" s="1"/>
  <c r="E17" i="4" s="1"/>
  <c r="D13" i="3"/>
  <c r="E13" i="3" s="1"/>
  <c r="E13" i="4" s="1"/>
  <c r="D9" i="3"/>
  <c r="E9" i="3" s="1"/>
  <c r="E9" i="4" s="1"/>
  <c r="D8" i="3"/>
  <c r="E8" i="3" s="1"/>
  <c r="E8" i="4" s="1"/>
  <c r="L8" i="4" s="1"/>
  <c r="D12" i="3"/>
  <c r="E12" i="3" s="1"/>
  <c r="E12" i="4" s="1"/>
  <c r="F12" i="4" s="1"/>
  <c r="G12" i="4" s="1"/>
  <c r="D16" i="3"/>
  <c r="E16" i="3" s="1"/>
  <c r="E16" i="4" s="1"/>
  <c r="F16" i="4" s="1"/>
  <c r="G16" i="4" s="1"/>
  <c r="D5" i="3"/>
  <c r="H14" i="3"/>
  <c r="H17" i="3"/>
  <c r="H9" i="3"/>
  <c r="H18" i="3"/>
  <c r="H7" i="3"/>
  <c r="H13" i="3"/>
  <c r="H16" i="3"/>
  <c r="C21" i="3"/>
  <c r="H21" i="3" s="1"/>
  <c r="H5" i="3"/>
  <c r="H12" i="3"/>
  <c r="H19" i="3"/>
  <c r="F21" i="3"/>
  <c r="G21" i="3" s="1"/>
  <c r="G5" i="3"/>
  <c r="H8" i="3"/>
  <c r="H15" i="3"/>
  <c r="H6" i="3"/>
  <c r="H10" i="3"/>
  <c r="G10" i="3"/>
  <c r="G14" i="3"/>
  <c r="B26" i="3"/>
  <c r="D21" i="3" l="1"/>
  <c r="E21" i="3" s="1"/>
  <c r="B29" i="3" s="1"/>
  <c r="E5" i="3"/>
  <c r="E5" i="4" s="1"/>
  <c r="L5" i="4" s="1"/>
  <c r="L17" i="4"/>
  <c r="F17" i="4"/>
  <c r="G17" i="4" s="1"/>
  <c r="L16" i="4"/>
  <c r="F14" i="4"/>
  <c r="G14" i="4" s="1"/>
  <c r="L14" i="4"/>
  <c r="L13" i="4"/>
  <c r="F13" i="4"/>
  <c r="G13" i="4" s="1"/>
  <c r="L10" i="4"/>
  <c r="F10" i="4"/>
  <c r="G10" i="4" s="1"/>
  <c r="F9" i="4"/>
  <c r="G9" i="4" s="1"/>
  <c r="L9" i="4"/>
  <c r="F6" i="4"/>
  <c r="G6" i="4" s="1"/>
  <c r="L6" i="4"/>
  <c r="F8" i="4"/>
  <c r="G8" i="4" s="1"/>
  <c r="L12" i="4"/>
  <c r="B28" i="3"/>
  <c r="F18" i="4"/>
  <c r="G18" i="4" s="1"/>
  <c r="L19" i="4"/>
  <c r="F19" i="4"/>
  <c r="G19" i="4" s="1"/>
  <c r="L11" i="4"/>
  <c r="F11" i="4"/>
  <c r="G11" i="4" s="1"/>
  <c r="F15" i="4"/>
  <c r="G15" i="4" s="1"/>
  <c r="L15" i="4"/>
  <c r="F7" i="4"/>
  <c r="G7" i="4" s="1"/>
  <c r="L7" i="4"/>
  <c r="F5" i="4" l="1"/>
  <c r="G5" i="4" s="1"/>
  <c r="E21" i="4"/>
  <c r="F21" i="4" s="1"/>
</calcChain>
</file>

<file path=xl/sharedStrings.xml><?xml version="1.0" encoding="utf-8"?>
<sst xmlns="http://schemas.openxmlformats.org/spreadsheetml/2006/main" count="490" uniqueCount="61">
  <si>
    <t>Respuesta_oyente</t>
  </si>
  <si>
    <t>A</t>
  </si>
  <si>
    <t>Tiempo_ASIS_s</t>
  </si>
  <si>
    <t>Observaciones</t>
  </si>
  <si>
    <t>Usuario_ID</t>
  </si>
  <si>
    <t>Intento</t>
  </si>
  <si>
    <t>Objetivo_ASIS</t>
  </si>
  <si>
    <t>Comprendido_0_1</t>
  </si>
  <si>
    <t>Estado_registro</t>
  </si>
  <si>
    <t>Ñ</t>
  </si>
  <si>
    <t>V</t>
  </si>
  <si>
    <t>U</t>
  </si>
  <si>
    <t>S</t>
  </si>
  <si>
    <t>N</t>
  </si>
  <si>
    <t>B</t>
  </si>
  <si>
    <t>C</t>
  </si>
  <si>
    <t>J</t>
  </si>
  <si>
    <t>W</t>
  </si>
  <si>
    <t>E</t>
  </si>
  <si>
    <t>Z</t>
  </si>
  <si>
    <t>Y</t>
  </si>
  <si>
    <t>O</t>
  </si>
  <si>
    <t>L</t>
  </si>
  <si>
    <t>R</t>
  </si>
  <si>
    <t>D</t>
  </si>
  <si>
    <t>T</t>
  </si>
  <si>
    <t>I</t>
  </si>
  <si>
    <t>H</t>
  </si>
  <si>
    <t>M</t>
  </si>
  <si>
    <t>X</t>
  </si>
  <si>
    <t>P</t>
  </si>
  <si>
    <t>Q</t>
  </si>
  <si>
    <t>G</t>
  </si>
  <si>
    <t>K</t>
  </si>
  <si>
    <t>F</t>
  </si>
  <si>
    <t>RESUMEN AUTOMÁTICO — ASIS</t>
  </si>
  <si>
    <t>N_previstos</t>
  </si>
  <si>
    <t>N_respondidos</t>
  </si>
  <si>
    <t>Correctos</t>
  </si>
  <si>
    <t>PCM_ASIS_%</t>
  </si>
  <si>
    <t>N_tiempos</t>
  </si>
  <si>
    <t>Tiempo_promedio_s</t>
  </si>
  <si>
    <t>Estado</t>
  </si>
  <si>
    <t>GLOBAL</t>
  </si>
  <si>
    <t>CONTROLES RÁPIDOS</t>
  </si>
  <si>
    <t>Control</t>
  </si>
  <si>
    <t>Resultado</t>
  </si>
  <si>
    <t>Registros completos</t>
  </si>
  <si>
    <t>Registros pendientes</t>
  </si>
  <si>
    <t>Participantes completos</t>
  </si>
  <si>
    <t>PCM global ASIS (%)</t>
  </si>
  <si>
    <t>COMPARACIÓN PREPARADA — ASIS vs TOBE</t>
  </si>
  <si>
    <t>Los valores TOBE provienen de tus 225 evaluaciones de comprensión ya registradas. ASIS aparecerá automáticamente al llenar la plantilla.</t>
  </si>
  <si>
    <t>N_TOBE</t>
  </si>
  <si>
    <t>Correctos_TOBE</t>
  </si>
  <si>
    <t>PCM_TOBE_%</t>
  </si>
  <si>
    <t>Diferencia_pp</t>
  </si>
  <si>
    <t>Interpretación</t>
  </si>
  <si>
    <t>NOTA METODOLÓGICA</t>
  </si>
  <si>
    <t>Esta hoja solo prepara la comparación descriptiva. La prueba inferencial final debe hacerse cuando los 15 pares ASIS–TOBE estén completos. Como son los mismos participantes, primero se evaluará la normalidad de las diferencias; luego se elegirá t de Student para muestras relacionadas o Wilcoxon.</t>
  </si>
  <si>
    <t>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</si>
</sst>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1"/>
      <color theme="1"/>
      <name val="Calibri"/>
      <family val="2"/>
    </font>
    <font>
      <sz val="11"/>
      <color theme="1"/>
      <name val="Calibri"/>
      <family val="2"/>
    </font>
    <font>
      <b/>
      <sz val="15"/>
      <color theme="1"/>
      <name val="Calibri"/>
      <family val="2"/>
    </font>
    <font>
      <i/>
      <sz val="11"/>
      <color theme="1"/>
      <name val="Calibri"/>
      <family val="2"/>
    </font>
    <font>
      <b/>
      <sz val="15"/>
      <color theme="1"/>
      <name val="Carlito"/>
    </font>
    <font>
      <sz val="11"/>
      <color theme="1"/>
      <name val="Carlito"/>
    </font>
    <font>
      <i/>
      <sz val="11"/>
      <color theme="1"/>
      <name val="Carlito"/>
    </font>
    <font>
      <b/>
      <sz val="11"/>
      <color theme="1"/>
      <name val="Carlito"/>
    </font>
    <font>
      <sz val="8"/>
      <name val="Carlito"/>
    </font>
    <font>
      <sz val="11"/>
      <color rgb="FF000000"/>
      <name val="Calibri"/>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3">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1">
    <xf numFmtId="0" fontId="0" fillId="0" borderId="0"/>
  </cellStyleXfs>
  <cellXfs count="41">
    <xf numFmtId="0" fontId="0" fillId="0" borderId="0" xfId="0"/>
    <xf numFmtId="0" fontId="1" fillId="2" borderId="4" xfId="0" applyNumberFormat="1" applyFont="1" applyFill="1" applyBorder="1" applyAlignment="1">
      <alignment horizontal="center" vertical="center" wrapText="1"/>
    </xf>
    <xf numFmtId="0" fontId="1" fillId="2" borderId="5" xfId="0" applyNumberFormat="1" applyFont="1" applyFill="1" applyBorder="1" applyAlignment="1">
      <alignment horizontal="center" vertical="center" wrapText="1"/>
    </xf>
    <xf numFmtId="0" fontId="1" fillId="2" borderId="6" xfId="0" applyNumberFormat="1" applyFont="1" applyFill="1" applyBorder="1" applyAlignment="1">
      <alignment horizontal="center" vertical="center" wrapText="1"/>
    </xf>
    <xf numFmtId="0" fontId="2" fillId="2" borderId="7" xfId="0" applyNumberFormat="1" applyFont="1" applyFill="1" applyBorder="1" applyAlignment="1">
      <alignment horizontal="center" vertical="center"/>
    </xf>
    <xf numFmtId="0" fontId="2" fillId="2" borderId="3" xfId="0" applyNumberFormat="1" applyFont="1" applyFill="1" applyBorder="1" applyAlignment="1">
      <alignment horizontal="center" vertical="center"/>
    </xf>
    <xf numFmtId="2" fontId="2" fillId="2" borderId="3" xfId="0" applyNumberFormat="1" applyFont="1" applyFill="1" applyBorder="1" applyAlignment="1">
      <alignment horizontal="center" vertical="center"/>
    </xf>
    <xf numFmtId="0" fontId="2" fillId="2" borderId="8" xfId="0" applyNumberFormat="1" applyFont="1" applyFill="1" applyBorder="1" applyAlignment="1">
      <alignment horizontal="center" vertical="center"/>
    </xf>
    <xf numFmtId="0" fontId="2" fillId="2" borderId="9" xfId="0" applyNumberFormat="1" applyFont="1" applyFill="1" applyBorder="1" applyAlignment="1">
      <alignment horizontal="center" vertical="center"/>
    </xf>
    <xf numFmtId="0" fontId="2" fillId="2" borderId="10" xfId="0" applyNumberFormat="1" applyFont="1" applyFill="1" applyBorder="1" applyAlignment="1">
      <alignment horizontal="center" vertical="center"/>
    </xf>
    <xf numFmtId="2" fontId="2" fillId="2" borderId="10" xfId="0" applyNumberFormat="1" applyFont="1" applyFill="1" applyBorder="1" applyAlignment="1">
      <alignment horizontal="center" vertical="center"/>
    </xf>
    <xf numFmtId="0" fontId="2" fillId="2" borderId="11" xfId="0" applyNumberFormat="1" applyFont="1" applyFill="1" applyBorder="1" applyAlignment="1">
      <alignment horizontal="center" vertical="center"/>
    </xf>
    <xf numFmtId="0" fontId="2" fillId="2" borderId="0" xfId="0" applyNumberFormat="1" applyFont="1" applyFill="1" applyBorder="1"/>
    <xf numFmtId="2" fontId="2" fillId="2" borderId="0" xfId="0" applyNumberFormat="1" applyFont="1" applyFill="1" applyBorder="1"/>
    <xf numFmtId="0" fontId="2" fillId="2" borderId="1" xfId="0" applyNumberFormat="1" applyFont="1" applyFill="1" applyBorder="1" applyAlignment="1"/>
    <xf numFmtId="0" fontId="1" fillId="2" borderId="5" xfId="0" applyNumberFormat="1" applyFont="1" applyFill="1" applyBorder="1" applyAlignment="1">
      <alignment horizontal="center" vertical="center"/>
    </xf>
    <xf numFmtId="0" fontId="1" fillId="2" borderId="3"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xf>
    <xf numFmtId="2" fontId="2" fillId="2" borderId="1" xfId="0" applyNumberFormat="1" applyFont="1" applyFill="1" applyBorder="1" applyAlignment="1">
      <alignment horizontal="center" vertical="center"/>
    </xf>
    <xf numFmtId="0" fontId="1" fillId="2" borderId="3" xfId="0" applyNumberFormat="1" applyFont="1" applyFill="1" applyBorder="1" applyAlignment="1">
      <alignment horizontal="center" vertical="center"/>
    </xf>
    <xf numFmtId="2" fontId="1" fillId="2" borderId="3" xfId="0" applyNumberFormat="1" applyFont="1" applyFill="1" applyBorder="1" applyAlignment="1">
      <alignment horizontal="center" vertical="center"/>
    </xf>
    <xf numFmtId="0" fontId="6" fillId="2" borderId="0" xfId="0" applyFont="1" applyFill="1"/>
    <xf numFmtId="0" fontId="8" fillId="2" borderId="3" xfId="0" applyNumberFormat="1" applyFont="1" applyFill="1" applyBorder="1" applyAlignment="1">
      <alignment horizontal="center" vertical="center"/>
    </xf>
    <xf numFmtId="0" fontId="6" fillId="2" borderId="3" xfId="0" applyFont="1" applyFill="1" applyBorder="1" applyAlignment="1">
      <alignment horizontal="center" vertical="center"/>
    </xf>
    <xf numFmtId="2" fontId="6" fillId="2" borderId="3" xfId="0" applyNumberFormat="1" applyFont="1" applyFill="1" applyBorder="1" applyAlignment="1">
      <alignment horizontal="center" vertical="center"/>
    </xf>
    <xf numFmtId="1" fontId="2" fillId="2" borderId="8" xfId="0" applyNumberFormat="1" applyFont="1" applyFill="1" applyBorder="1" applyAlignment="1">
      <alignment horizontal="center" vertical="center"/>
    </xf>
    <xf numFmtId="1" fontId="2" fillId="2" borderId="11" xfId="0" applyNumberFormat="1" applyFont="1" applyFill="1" applyBorder="1" applyAlignment="1">
      <alignment horizontal="center" vertical="center"/>
    </xf>
    <xf numFmtId="0" fontId="10" fillId="3" borderId="3" xfId="0" applyFont="1" applyFill="1" applyBorder="1" applyAlignment="1">
      <alignment horizontal="center" vertical="center"/>
    </xf>
    <xf numFmtId="0" fontId="1" fillId="2" borderId="3" xfId="0" applyNumberFormat="1" applyFont="1" applyFill="1" applyBorder="1" applyAlignment="1">
      <alignment horizontal="center"/>
    </xf>
    <xf numFmtId="0" fontId="3" fillId="2" borderId="11" xfId="0" applyNumberFormat="1" applyFont="1" applyFill="1" applyBorder="1" applyAlignment="1">
      <alignment horizontal="center" vertical="center"/>
    </xf>
    <xf numFmtId="0" fontId="3" fillId="2" borderId="12" xfId="0" applyNumberFormat="1" applyFont="1" applyFill="1" applyBorder="1" applyAlignment="1">
      <alignment horizontal="center" vertical="center"/>
    </xf>
    <xf numFmtId="0" fontId="3" fillId="2" borderId="9"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2" borderId="2" xfId="0" applyNumberFormat="1" applyFont="1" applyFill="1" applyBorder="1" applyAlignment="1">
      <alignment horizontal="center" vertical="center"/>
    </xf>
    <xf numFmtId="0" fontId="3" fillId="2" borderId="4" xfId="0" applyNumberFormat="1" applyFont="1" applyFill="1" applyBorder="1" applyAlignment="1">
      <alignment horizontal="center" vertical="center"/>
    </xf>
    <xf numFmtId="0" fontId="3" fillId="2" borderId="3" xfId="0" applyNumberFormat="1" applyFont="1" applyFill="1" applyBorder="1" applyAlignment="1">
      <alignment horizontal="center"/>
    </xf>
    <xf numFmtId="0" fontId="5" fillId="2" borderId="3" xfId="0" applyNumberFormat="1" applyFont="1" applyFill="1" applyBorder="1" applyAlignment="1">
      <alignment horizontal="center"/>
    </xf>
    <xf numFmtId="0" fontId="4" fillId="2" borderId="3" xfId="0" applyNumberFormat="1" applyFont="1" applyFill="1" applyBorder="1" applyAlignment="1">
      <alignment horizontal="center" wrapText="1"/>
    </xf>
    <xf numFmtId="0" fontId="7" fillId="2" borderId="3" xfId="0" applyNumberFormat="1" applyFont="1" applyFill="1" applyBorder="1" applyAlignment="1">
      <alignment horizontal="center" wrapText="1"/>
    </xf>
    <xf numFmtId="0" fontId="1" fillId="2" borderId="0" xfId="0" applyNumberFormat="1" applyFont="1" applyFill="1" applyBorder="1"/>
    <xf numFmtId="0" fontId="2" fillId="2" borderId="0" xfId="0" applyNumberFormat="1" applyFont="1" applyFill="1" applyBorder="1" applyAlignment="1">
      <alignment vertical="top" wrapText="1"/>
    </xf>
  </cellXfs>
  <cellStyles count="1">
    <cellStyle name="Normal" xfId="0" builtinId="0"/>
  </cellStyles>
  <dxfs count="42">
    <dxf>
      <font>
        <strike val="0"/>
        <outline val="0"/>
        <shadow val="0"/>
        <u val="none"/>
        <vertAlign val="baseline"/>
        <color theme="1"/>
      </font>
      <fill>
        <patternFill>
          <fgColor indexed="64"/>
          <bgColor theme="0"/>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color theme="1"/>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fgColor indexed="64"/>
          <bgColor theme="0"/>
        </patternFill>
      </fill>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color theme="1"/>
      </font>
      <fill>
        <patternFill>
          <fgColor indexed="64"/>
          <bgColor theme="0"/>
        </patternFill>
      </fill>
      <alignment horizontal="center" vertical="center" textRotation="0" indent="0" justifyLastLine="0" shrinkToFit="0" readingOrder="0"/>
    </dxf>
    <dxf>
      <border>
        <bottom style="thin">
          <color indexed="64"/>
        </bottom>
      </border>
    </dxf>
    <dxf>
      <font>
        <strike val="0"/>
        <outline val="0"/>
        <shadow val="0"/>
        <u val="none"/>
        <vertAlign val="baseline"/>
        <color theme="1"/>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color theme="1"/>
        <name val="Calibri"/>
        <scheme val="none"/>
      </font>
      <fill>
        <patternFill>
          <fgColor indexed="64"/>
          <bgColor theme="0"/>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color theme="1"/>
        <name val="Calibri"/>
        <scheme val="none"/>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Calibri"/>
        <scheme val="none"/>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Calibri"/>
        <scheme val="none"/>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Calibri"/>
        <scheme val="none"/>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Calibri"/>
        <scheme val="none"/>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Calibri"/>
        <scheme val="none"/>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Calibri"/>
        <scheme val="none"/>
      </font>
      <fill>
        <patternFill>
          <fgColor indexed="64"/>
          <bgColor theme="0"/>
        </patternFill>
      </fill>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color theme="1"/>
        <name val="Calibri"/>
        <scheme val="none"/>
      </font>
      <fill>
        <patternFill>
          <fgColor indexed="64"/>
          <bgColor theme="0"/>
        </patternFill>
      </fill>
      <alignment horizontal="center" vertical="center" textRotation="0" indent="0" justifyLastLine="0" shrinkToFit="0" readingOrder="0"/>
    </dxf>
    <dxf>
      <border>
        <bottom style="thin">
          <color indexed="64"/>
        </bottom>
      </border>
    </dxf>
    <dxf>
      <font>
        <strike val="0"/>
        <outline val="0"/>
        <shadow val="0"/>
        <u val="none"/>
        <vertAlign val="baseline"/>
        <color theme="1"/>
        <name val="Calibri"/>
        <scheme val="none"/>
      </font>
      <fill>
        <patternFill>
          <fgColor indexed="64"/>
          <bgColor theme="0"/>
        </patternFill>
      </fill>
      <alignment horizontal="center" vertical="center" textRotation="0" indent="0" justifyLastLine="0" shrinkToFit="0" readingOrder="0"/>
      <border diagonalUp="0" diagonalDown="0" outline="0">
        <left style="thin">
          <color indexed="64"/>
        </left>
        <right style="thin">
          <color indexed="64"/>
        </right>
        <top/>
        <bottom/>
      </border>
    </dxf>
    <dxf>
      <font>
        <color rgb="FF9C0006"/>
      </font>
      <fill>
        <patternFill patternType="solid">
          <bgColor rgb="FFFCE4D6"/>
        </patternFill>
      </fill>
    </dxf>
    <dxf>
      <font>
        <b/>
        <color rgb="FF006100"/>
      </font>
      <fill>
        <patternFill patternType="solid">
          <bgColor rgb="FFE2F0D9"/>
        </patternFill>
      </fill>
    </dxf>
    <dxf>
      <font>
        <strike val="0"/>
        <outline val="0"/>
        <shadow val="0"/>
        <u val="none"/>
        <vertAlign val="baseline"/>
        <sz val="11"/>
        <color theme="1"/>
        <name val="Calibri"/>
        <scheme val="none"/>
      </font>
      <fill>
        <patternFill patternType="solid">
          <fgColor indexed="64"/>
          <bgColor theme="0"/>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Calibri"/>
        <scheme val="none"/>
      </font>
      <fill>
        <patternFill patternType="solid">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none"/>
      </font>
      <fill>
        <patternFill patternType="solid">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none"/>
      </font>
      <fill>
        <patternFill patternType="solid">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none"/>
      </font>
      <fill>
        <patternFill patternType="solid">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none"/>
      </font>
      <fill>
        <patternFill patternType="solid">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none"/>
      </font>
      <fill>
        <patternFill patternType="solid">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none"/>
      </font>
      <fill>
        <patternFill patternType="solid">
          <fgColor indexed="64"/>
          <bgColor theme="0"/>
        </patternFill>
      </fill>
      <alignment horizontal="center" vertical="center" textRotation="0" indent="0" justifyLastLine="0" shrinkToFit="0" readingOrder="0"/>
    </dxf>
    <dxf>
      <border>
        <bottom style="thin">
          <color indexed="64"/>
        </bottom>
      </border>
    </dxf>
    <dxf>
      <font>
        <strike val="0"/>
        <outline val="0"/>
        <shadow val="0"/>
        <u val="none"/>
        <vertAlign val="baseline"/>
        <sz val="11"/>
        <color theme="1"/>
        <name val="Calibri"/>
        <scheme val="none"/>
      </font>
      <fill>
        <patternFill patternType="solid">
          <fgColor indexed="64"/>
          <bgColor theme="0"/>
        </patternFill>
      </fill>
      <alignment horizontal="center" vertical="center" textRotation="0" indent="0" justifyLastLine="0" shrinkToFit="0" readingOrder="0"/>
      <border diagonalUp="0" diagonalDown="0" outline="0">
        <left style="thin">
          <color indexed="64"/>
        </left>
        <right style="thin">
          <color indexed="64"/>
        </right>
        <top/>
        <bottom/>
      </border>
    </dxf>
    <dxf>
      <fill>
        <patternFill patternType="solid">
          <bgColor rgb="FFFCE4D6"/>
        </patternFill>
      </fill>
    </dxf>
    <dxf>
      <fill>
        <patternFill patternType="solid">
          <bgColor rgb="FFE2F0D9"/>
        </patternFill>
      </fill>
    </dxf>
    <dxf>
      <font>
        <color rgb="FF9C0006"/>
      </font>
      <fill>
        <patternFill patternType="solid">
          <bgColor rgb="FFFCE4D6"/>
        </patternFill>
      </fill>
    </dxf>
    <dxf>
      <font>
        <b/>
        <color rgb="FF006100"/>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PE"/>
              <a:t>PCM por participante: ASIS vs TOBE</a:t>
            </a:r>
          </a:p>
        </c:rich>
      </c:tx>
      <c:overlay val="1"/>
    </c:title>
    <c:autoTitleDeleted val="0"/>
    <c:plotArea>
      <c:layout/>
      <c:barChart>
        <c:barDir val="col"/>
        <c:grouping val="clustered"/>
        <c:varyColors val="0"/>
        <c:ser>
          <c:idx val="0"/>
          <c:order val="0"/>
          <c:tx>
            <c:v>PCM_TOBE_%</c:v>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Comparacion_TOBE!$J$5:$J$19</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cat>
          <c:val>
            <c:numRef>
              <c:f>Comparacion_TOBE!$K$5:$K$19</c:f>
              <c:numCache>
                <c:formatCode>0.00</c:formatCode>
                <c:ptCount val="15"/>
                <c:pt idx="0">
                  <c:v>80</c:v>
                </c:pt>
                <c:pt idx="1">
                  <c:v>80</c:v>
                </c:pt>
                <c:pt idx="2">
                  <c:v>80</c:v>
                </c:pt>
                <c:pt idx="3">
                  <c:v>93.333333333333329</c:v>
                </c:pt>
                <c:pt idx="4">
                  <c:v>86.666666666666671</c:v>
                </c:pt>
                <c:pt idx="5">
                  <c:v>66.666666666666657</c:v>
                </c:pt>
                <c:pt idx="6">
                  <c:v>73.333333333333329</c:v>
                </c:pt>
                <c:pt idx="7">
                  <c:v>93.333333333333329</c:v>
                </c:pt>
                <c:pt idx="8">
                  <c:v>100</c:v>
                </c:pt>
                <c:pt idx="9">
                  <c:v>80</c:v>
                </c:pt>
                <c:pt idx="10">
                  <c:v>86.666666666666671</c:v>
                </c:pt>
                <c:pt idx="11">
                  <c:v>86.666666666666671</c:v>
                </c:pt>
                <c:pt idx="12">
                  <c:v>60</c:v>
                </c:pt>
                <c:pt idx="13">
                  <c:v>73.333333333333329</c:v>
                </c:pt>
                <c:pt idx="14">
                  <c:v>86.666666666666671</c:v>
                </c:pt>
              </c:numCache>
            </c:numRef>
          </c:val>
          <c:extLst>
            <c:ext xmlns:c16="http://schemas.microsoft.com/office/drawing/2014/chart" uri="{C3380CC4-5D6E-409C-BE32-E72D297353CC}">
              <c16:uniqueId val="{00000000-23E6-4F29-98D0-C8B047A87A23}"/>
            </c:ext>
          </c:extLst>
        </c:ser>
        <c:ser>
          <c:idx val="1"/>
          <c:order val="1"/>
          <c:tx>
            <c:v>PCM_ASIS_%</c:v>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Comparacion_TOBE!$J$5:$J$19</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cat>
          <c:val>
            <c:numRef>
              <c:f>Comparacion_TOBE!$L$5:$L$19</c:f>
              <c:numCache>
                <c:formatCode>0.00</c:formatCode>
                <c:ptCount val="15"/>
                <c:pt idx="0">
                  <c:v>73.333333333333329</c:v>
                </c:pt>
                <c:pt idx="1">
                  <c:v>86.666666666666671</c:v>
                </c:pt>
                <c:pt idx="2">
                  <c:v>73.333333333333329</c:v>
                </c:pt>
                <c:pt idx="3">
                  <c:v>73.333333333333329</c:v>
                </c:pt>
                <c:pt idx="4">
                  <c:v>80</c:v>
                </c:pt>
                <c:pt idx="5">
                  <c:v>73.333333333333329</c:v>
                </c:pt>
                <c:pt idx="6">
                  <c:v>66.666666666666657</c:v>
                </c:pt>
                <c:pt idx="7">
                  <c:v>80</c:v>
                </c:pt>
                <c:pt idx="8">
                  <c:v>86.666666666666671</c:v>
                </c:pt>
                <c:pt idx="9">
                  <c:v>80</c:v>
                </c:pt>
                <c:pt idx="10">
                  <c:v>100</c:v>
                </c:pt>
                <c:pt idx="11">
                  <c:v>93.333333333333329</c:v>
                </c:pt>
                <c:pt idx="12">
                  <c:v>80</c:v>
                </c:pt>
                <c:pt idx="13">
                  <c:v>80</c:v>
                </c:pt>
                <c:pt idx="14">
                  <c:v>86.666666666666671</c:v>
                </c:pt>
              </c:numCache>
            </c:numRef>
          </c:val>
          <c:extLst>
            <c:ext xmlns:c16="http://schemas.microsoft.com/office/drawing/2014/chart" uri="{C3380CC4-5D6E-409C-BE32-E72D297353CC}">
              <c16:uniqueId val="{00000001-23E6-4F29-98D0-C8B047A87A23}"/>
            </c:ext>
          </c:extLst>
        </c:ser>
        <c:dLbls>
          <c:dLblPos val="outEnd"/>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20</xdr:row>
      <xdr:rowOff>0</xdr:rowOff>
    </xdr:from>
    <xdr:to>
      <xdr:col>19</xdr:col>
      <xdr:colOff>57150</xdr:colOff>
      <xdr:row>40</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SISDetalleTable" displayName="ASISDetalleTable" ref="A1:H226" totalsRowShown="0" headerRowDxfId="37" dataDxfId="35" headerRowBorderDxfId="36" tableBorderDxfId="34" totalsRowBorderDxfId="33">
  <tableColumns count="8">
    <tableColumn id="2" xr3:uid="{00000000-0010-0000-0000-000002000000}" name="Usuario_ID" dataDxfId="32"/>
    <tableColumn id="3" xr3:uid="{00000000-0010-0000-0000-000003000000}" name="Intento" dataDxfId="31"/>
    <tableColumn id="4" xr3:uid="{00000000-0010-0000-0000-000004000000}" name="Objetivo_ASIS" dataDxfId="30"/>
    <tableColumn id="5" xr3:uid="{00000000-0010-0000-0000-000005000000}" name="Respuesta_oyente" dataDxfId="29"/>
    <tableColumn id="6" xr3:uid="{00000000-0010-0000-0000-000006000000}" name="Comprendido_0_1" dataDxfId="28"/>
    <tableColumn id="7" xr3:uid="{00000000-0010-0000-0000-000007000000}" name="Tiempo_ASIS_s" dataDxfId="27"/>
    <tableColumn id="9" xr3:uid="{00000000-0010-0000-0000-000009000000}" name="Observaciones" dataDxfId="26"/>
    <tableColumn id="10" xr3:uid="{00000000-0010-0000-0000-00000A000000}" name="Estado_registro" dataDxfId="25">
      <calculatedColumnFormula>IF(AND(D2&lt;&gt;"",F2&lt;&gt;""),"OK","PENDIENTE")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SISResumenTable" displayName="ASISResumenTable" ref="A4:H19" totalsRowShown="0" headerRowDxfId="22" dataDxfId="20" headerRowBorderDxfId="21">
  <tableColumns count="8">
    <tableColumn id="1" xr3:uid="{00000000-0010-0000-0100-000001000000}" name="Usuario_ID" dataDxfId="19"/>
    <tableColumn id="2" xr3:uid="{00000000-0010-0000-0100-000002000000}" name="N_previstos" dataDxfId="18"/>
    <tableColumn id="3" xr3:uid="{00000000-0010-0000-0100-000003000000}" name="N_respondidos" dataDxfId="17"/>
    <tableColumn id="4" xr3:uid="{00000000-0010-0000-0100-000004000000}" name="Correctos" dataDxfId="16"/>
    <tableColumn id="5" xr3:uid="{00000000-0010-0000-0100-000005000000}" name="PCM_ASIS_%" dataDxfId="15"/>
    <tableColumn id="6" xr3:uid="{00000000-0010-0000-0100-000006000000}" name="N_tiempos" dataDxfId="14"/>
    <tableColumn id="7" xr3:uid="{00000000-0010-0000-0100-000007000000}" name="Tiempo_promedio_s" dataDxfId="13"/>
    <tableColumn id="8" xr3:uid="{00000000-0010-0000-0100-000008000000}" name="Estado"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SISTOBECompTable" displayName="ASISTOBECompTable" ref="A4:G19" totalsRowShown="0" headerRowDxfId="11" dataDxfId="9" headerRowBorderDxfId="10" tableBorderDxfId="8" totalsRowBorderDxfId="7">
  <tableColumns count="7">
    <tableColumn id="1" xr3:uid="{00000000-0010-0000-0200-000001000000}" name="Usuario_ID" dataDxfId="6"/>
    <tableColumn id="2" xr3:uid="{00000000-0010-0000-0200-000002000000}" name="N_TOBE" dataDxfId="5"/>
    <tableColumn id="3" xr3:uid="{00000000-0010-0000-0200-000003000000}" name="Correctos_TOBE" dataDxfId="4"/>
    <tableColumn id="4" xr3:uid="{00000000-0010-0000-0200-000004000000}" name="PCM_TOBE_%" dataDxfId="3"/>
    <tableColumn id="5" xr3:uid="{00000000-0010-0000-0200-000005000000}" name="PCM_ASIS_%" dataDxfId="2"/>
    <tableColumn id="6" xr3:uid="{00000000-0010-0000-0200-000006000000}" name="Diferencia_pp" dataDxfId="1"/>
    <tableColumn id="7" xr3:uid="{00000000-0010-0000-0200-000007000000}" name="Interpretación"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6"/>
  <sheetViews>
    <sheetView workbookViewId="0">
      <selection activeCell="D16" sqref="D16"/>
    </sheetView>
  </sheetViews>
  <sheetFormatPr baseColWidth="10" defaultColWidth="9" defaultRowHeight="14.25"/>
  <cols>
    <col min="1" max="2" width="12" customWidth="1"/>
    <col min="3" max="3" width="13.625" customWidth="1"/>
    <col min="4" max="4" width="15.25" bestFit="1" customWidth="1"/>
    <col min="5" max="5" width="15" bestFit="1" customWidth="1"/>
    <col min="6" max="7" width="18" customWidth="1"/>
    <col min="8" max="8" width="14" customWidth="1"/>
    <col min="9" max="9" width="32" customWidth="1"/>
    <col min="10" max="10" width="16" customWidth="1"/>
  </cols>
  <sheetData>
    <row r="1" spans="1:8" ht="15">
      <c r="A1" s="2" t="s">
        <v>4</v>
      </c>
      <c r="B1" s="2" t="s">
        <v>5</v>
      </c>
      <c r="C1" s="2" t="s">
        <v>6</v>
      </c>
      <c r="D1" s="2" t="s">
        <v>0</v>
      </c>
      <c r="E1" s="3" t="s">
        <v>7</v>
      </c>
      <c r="F1" s="16" t="s">
        <v>2</v>
      </c>
      <c r="G1" s="1" t="s">
        <v>3</v>
      </c>
      <c r="H1" s="3" t="s">
        <v>8</v>
      </c>
    </row>
    <row r="2" spans="1:8" ht="15">
      <c r="A2" s="5">
        <v>1</v>
      </c>
      <c r="B2" s="5">
        <v>1</v>
      </c>
      <c r="C2" s="5" t="s">
        <v>9</v>
      </c>
      <c r="D2" s="5" t="s">
        <v>9</v>
      </c>
      <c r="E2" s="25">
        <f t="shared" ref="E2:E65" si="0">IF(D2="","",IF(UPPER(TRIM(D2))=UPPER(TRIM(C2)),1,0))</f>
        <v>1</v>
      </c>
      <c r="F2" s="27">
        <v>3.37</v>
      </c>
      <c r="G2" s="4"/>
      <c r="H2" s="7" t="str">
        <f>IF(AND(D2&lt;&gt;"",F2&lt;&gt;""),"OK","PENDIENTE")</f>
        <v>OK</v>
      </c>
    </row>
    <row r="3" spans="1:8" ht="15">
      <c r="A3" s="5">
        <v>1</v>
      </c>
      <c r="B3" s="5">
        <v>2</v>
      </c>
      <c r="C3" s="5" t="s">
        <v>10</v>
      </c>
      <c r="D3" s="5" t="s">
        <v>11</v>
      </c>
      <c r="E3" s="25">
        <f t="shared" si="0"/>
        <v>0</v>
      </c>
      <c r="F3" s="27">
        <v>2.9</v>
      </c>
      <c r="G3" s="4"/>
      <c r="H3" s="7" t="str">
        <f t="shared" ref="H3:H66" si="1">IF(AND(D3&lt;&gt;"",F3&lt;&gt;""),"OK","PENDIENTE")</f>
        <v>OK</v>
      </c>
    </row>
    <row r="4" spans="1:8" ht="15">
      <c r="A4" s="5">
        <v>1</v>
      </c>
      <c r="B4" s="5">
        <v>3</v>
      </c>
      <c r="C4" s="5" t="s">
        <v>11</v>
      </c>
      <c r="D4" s="5" t="s">
        <v>11</v>
      </c>
      <c r="E4" s="25">
        <f t="shared" si="0"/>
        <v>1</v>
      </c>
      <c r="F4" s="27">
        <v>1.63</v>
      </c>
      <c r="G4" s="4"/>
      <c r="H4" s="7" t="str">
        <f t="shared" si="1"/>
        <v>OK</v>
      </c>
    </row>
    <row r="5" spans="1:8" ht="15">
      <c r="A5" s="5">
        <v>1</v>
      </c>
      <c r="B5" s="5">
        <v>4</v>
      </c>
      <c r="C5" s="5" t="s">
        <v>12</v>
      </c>
      <c r="D5" s="5" t="s">
        <v>12</v>
      </c>
      <c r="E5" s="25">
        <f t="shared" si="0"/>
        <v>1</v>
      </c>
      <c r="F5" s="27">
        <v>3.13</v>
      </c>
      <c r="G5" s="4"/>
      <c r="H5" s="7" t="str">
        <f t="shared" si="1"/>
        <v>OK</v>
      </c>
    </row>
    <row r="6" spans="1:8" ht="15">
      <c r="A6" s="5">
        <v>1</v>
      </c>
      <c r="B6" s="5">
        <v>5</v>
      </c>
      <c r="C6" s="5" t="s">
        <v>13</v>
      </c>
      <c r="D6" s="5" t="s">
        <v>13</v>
      </c>
      <c r="E6" s="25">
        <f t="shared" si="0"/>
        <v>1</v>
      </c>
      <c r="F6" s="27">
        <v>2.5</v>
      </c>
      <c r="G6" s="4"/>
      <c r="H6" s="7" t="str">
        <f t="shared" si="1"/>
        <v>OK</v>
      </c>
    </row>
    <row r="7" spans="1:8" ht="15">
      <c r="A7" s="5">
        <v>1</v>
      </c>
      <c r="B7" s="5">
        <v>6</v>
      </c>
      <c r="C7" s="5" t="s">
        <v>14</v>
      </c>
      <c r="D7" s="5" t="s">
        <v>14</v>
      </c>
      <c r="E7" s="25">
        <f t="shared" si="0"/>
        <v>1</v>
      </c>
      <c r="F7" s="27">
        <v>2.75</v>
      </c>
      <c r="G7" s="4"/>
      <c r="H7" s="7" t="str">
        <f t="shared" si="1"/>
        <v>OK</v>
      </c>
    </row>
    <row r="8" spans="1:8" ht="15">
      <c r="A8" s="5">
        <v>1</v>
      </c>
      <c r="B8" s="5">
        <v>7</v>
      </c>
      <c r="C8" s="5" t="s">
        <v>15</v>
      </c>
      <c r="D8" s="5" t="s">
        <v>15</v>
      </c>
      <c r="E8" s="25">
        <f t="shared" si="0"/>
        <v>1</v>
      </c>
      <c r="F8" s="27">
        <v>1.05</v>
      </c>
      <c r="G8" s="4"/>
      <c r="H8" s="7" t="str">
        <f t="shared" si="1"/>
        <v>OK</v>
      </c>
    </row>
    <row r="9" spans="1:8" ht="15">
      <c r="A9" s="5">
        <v>1</v>
      </c>
      <c r="B9" s="5">
        <v>8</v>
      </c>
      <c r="C9" s="5" t="s">
        <v>16</v>
      </c>
      <c r="D9" s="5" t="s">
        <v>60</v>
      </c>
      <c r="E9" s="25">
        <f t="shared" si="0"/>
        <v>0</v>
      </c>
      <c r="F9" s="27">
        <v>1.23</v>
      </c>
      <c r="G9" s="4"/>
      <c r="H9" s="7" t="str">
        <f t="shared" si="1"/>
        <v>OK</v>
      </c>
    </row>
    <row r="10" spans="1:8" ht="15">
      <c r="A10" s="5">
        <v>1</v>
      </c>
      <c r="B10" s="5">
        <v>9</v>
      </c>
      <c r="C10" s="5" t="s">
        <v>17</v>
      </c>
      <c r="D10" s="5" t="s">
        <v>17</v>
      </c>
      <c r="E10" s="25">
        <f t="shared" si="0"/>
        <v>1</v>
      </c>
      <c r="F10" s="27">
        <v>3.69</v>
      </c>
      <c r="G10" s="4"/>
      <c r="H10" s="7" t="str">
        <f t="shared" si="1"/>
        <v>OK</v>
      </c>
    </row>
    <row r="11" spans="1:8" ht="15">
      <c r="A11" s="5">
        <v>1</v>
      </c>
      <c r="B11" s="5">
        <v>10</v>
      </c>
      <c r="C11" s="5" t="s">
        <v>18</v>
      </c>
      <c r="D11" s="5" t="s">
        <v>1</v>
      </c>
      <c r="E11" s="25">
        <f t="shared" si="0"/>
        <v>0</v>
      </c>
      <c r="F11" s="27">
        <v>3.23</v>
      </c>
      <c r="G11" s="4"/>
      <c r="H11" s="7" t="str">
        <f t="shared" si="1"/>
        <v>OK</v>
      </c>
    </row>
    <row r="12" spans="1:8" ht="15">
      <c r="A12" s="5">
        <v>1</v>
      </c>
      <c r="B12" s="5">
        <v>11</v>
      </c>
      <c r="C12" s="5" t="s">
        <v>11</v>
      </c>
      <c r="D12" s="5" t="s">
        <v>11</v>
      </c>
      <c r="E12" s="25">
        <f t="shared" si="0"/>
        <v>1</v>
      </c>
      <c r="F12" s="27">
        <v>1.43</v>
      </c>
      <c r="G12" s="4"/>
      <c r="H12" s="7" t="str">
        <f t="shared" si="1"/>
        <v>OK</v>
      </c>
    </row>
    <row r="13" spans="1:8" ht="15">
      <c r="A13" s="5">
        <v>1</v>
      </c>
      <c r="B13" s="5">
        <v>12</v>
      </c>
      <c r="C13" s="5" t="s">
        <v>13</v>
      </c>
      <c r="D13" s="5" t="s">
        <v>13</v>
      </c>
      <c r="E13" s="25">
        <f t="shared" si="0"/>
        <v>1</v>
      </c>
      <c r="F13" s="27">
        <v>1.0900000000000001</v>
      </c>
      <c r="G13" s="4"/>
      <c r="H13" s="7" t="str">
        <f t="shared" si="1"/>
        <v>OK</v>
      </c>
    </row>
    <row r="14" spans="1:8" ht="15">
      <c r="A14" s="5">
        <v>1</v>
      </c>
      <c r="B14" s="5">
        <v>13</v>
      </c>
      <c r="C14" s="5" t="s">
        <v>19</v>
      </c>
      <c r="D14" s="5" t="s">
        <v>19</v>
      </c>
      <c r="E14" s="25">
        <f t="shared" si="0"/>
        <v>1</v>
      </c>
      <c r="F14" s="27">
        <v>3.54</v>
      </c>
      <c r="G14" s="4"/>
      <c r="H14" s="7" t="str">
        <f t="shared" si="1"/>
        <v>OK</v>
      </c>
    </row>
    <row r="15" spans="1:8" ht="15">
      <c r="A15" s="5">
        <v>1</v>
      </c>
      <c r="B15" s="5">
        <v>14</v>
      </c>
      <c r="C15" s="5" t="s">
        <v>20</v>
      </c>
      <c r="D15" s="5" t="s">
        <v>20</v>
      </c>
      <c r="E15" s="25">
        <f t="shared" si="0"/>
        <v>1</v>
      </c>
      <c r="F15" s="27">
        <v>2.83</v>
      </c>
      <c r="G15" s="4"/>
      <c r="H15" s="7" t="str">
        <f t="shared" si="1"/>
        <v>OK</v>
      </c>
    </row>
    <row r="16" spans="1:8" ht="15">
      <c r="A16" s="5">
        <v>1</v>
      </c>
      <c r="B16" s="5">
        <v>15</v>
      </c>
      <c r="C16" s="5" t="s">
        <v>12</v>
      </c>
      <c r="D16" s="5" t="s">
        <v>60</v>
      </c>
      <c r="E16" s="25">
        <f t="shared" si="0"/>
        <v>0</v>
      </c>
      <c r="F16" s="27">
        <v>3.61</v>
      </c>
      <c r="G16" s="4"/>
      <c r="H16" s="7" t="str">
        <f t="shared" si="1"/>
        <v>OK</v>
      </c>
    </row>
    <row r="17" spans="1:8" ht="15">
      <c r="A17" s="5">
        <v>2</v>
      </c>
      <c r="B17" s="5">
        <v>1</v>
      </c>
      <c r="C17" s="5" t="s">
        <v>21</v>
      </c>
      <c r="D17" s="5" t="s">
        <v>21</v>
      </c>
      <c r="E17" s="25">
        <f t="shared" si="0"/>
        <v>1</v>
      </c>
      <c r="F17" s="27">
        <v>1.42</v>
      </c>
      <c r="G17" s="4"/>
      <c r="H17" s="7" t="str">
        <f t="shared" si="1"/>
        <v>OK</v>
      </c>
    </row>
    <row r="18" spans="1:8" ht="15">
      <c r="A18" s="5">
        <v>2</v>
      </c>
      <c r="B18" s="5">
        <v>2</v>
      </c>
      <c r="C18" s="5" t="s">
        <v>22</v>
      </c>
      <c r="D18" s="5" t="s">
        <v>22</v>
      </c>
      <c r="E18" s="25">
        <f t="shared" si="0"/>
        <v>1</v>
      </c>
      <c r="F18" s="27">
        <v>1.81</v>
      </c>
      <c r="G18" s="4"/>
      <c r="H18" s="7" t="str">
        <f t="shared" si="1"/>
        <v>OK</v>
      </c>
    </row>
    <row r="19" spans="1:8" ht="15">
      <c r="A19" s="5">
        <v>2</v>
      </c>
      <c r="B19" s="5">
        <v>3</v>
      </c>
      <c r="C19" s="5" t="s">
        <v>20</v>
      </c>
      <c r="D19" s="5" t="s">
        <v>20</v>
      </c>
      <c r="E19" s="25">
        <f t="shared" si="0"/>
        <v>1</v>
      </c>
      <c r="F19" s="27">
        <v>3.61</v>
      </c>
      <c r="G19" s="4"/>
      <c r="H19" s="7" t="str">
        <f t="shared" si="1"/>
        <v>OK</v>
      </c>
    </row>
    <row r="20" spans="1:8" ht="15">
      <c r="A20" s="5">
        <v>2</v>
      </c>
      <c r="B20" s="5">
        <v>4</v>
      </c>
      <c r="C20" s="5" t="s">
        <v>9</v>
      </c>
      <c r="D20" s="5" t="s">
        <v>9</v>
      </c>
      <c r="E20" s="25">
        <f t="shared" si="0"/>
        <v>1</v>
      </c>
      <c r="F20" s="27">
        <v>2.69</v>
      </c>
      <c r="G20" s="4"/>
      <c r="H20" s="7" t="str">
        <f t="shared" si="1"/>
        <v>OK</v>
      </c>
    </row>
    <row r="21" spans="1:8" ht="15">
      <c r="A21" s="5">
        <v>2</v>
      </c>
      <c r="B21" s="5">
        <v>5</v>
      </c>
      <c r="C21" s="5" t="s">
        <v>23</v>
      </c>
      <c r="D21" s="5" t="s">
        <v>60</v>
      </c>
      <c r="E21" s="25">
        <f t="shared" si="0"/>
        <v>0</v>
      </c>
      <c r="F21" s="27">
        <v>1.92</v>
      </c>
      <c r="G21" s="4"/>
      <c r="H21" s="7" t="str">
        <f t="shared" si="1"/>
        <v>OK</v>
      </c>
    </row>
    <row r="22" spans="1:8" ht="15">
      <c r="A22" s="5">
        <v>2</v>
      </c>
      <c r="B22" s="5">
        <v>6</v>
      </c>
      <c r="C22" s="5" t="s">
        <v>11</v>
      </c>
      <c r="D22" s="5" t="s">
        <v>11</v>
      </c>
      <c r="E22" s="25">
        <f t="shared" si="0"/>
        <v>1</v>
      </c>
      <c r="F22" s="27">
        <v>3.32</v>
      </c>
      <c r="G22" s="4"/>
      <c r="H22" s="7" t="str">
        <f t="shared" si="1"/>
        <v>OK</v>
      </c>
    </row>
    <row r="23" spans="1:8" ht="15">
      <c r="A23" s="5">
        <v>2</v>
      </c>
      <c r="B23" s="5">
        <v>7</v>
      </c>
      <c r="C23" s="5" t="s">
        <v>17</v>
      </c>
      <c r="D23" s="5" t="s">
        <v>17</v>
      </c>
      <c r="E23" s="25">
        <f t="shared" si="0"/>
        <v>1</v>
      </c>
      <c r="F23" s="27">
        <v>2.94</v>
      </c>
      <c r="G23" s="4"/>
      <c r="H23" s="7" t="str">
        <f t="shared" si="1"/>
        <v>OK</v>
      </c>
    </row>
    <row r="24" spans="1:8" ht="15">
      <c r="A24" s="5">
        <v>2</v>
      </c>
      <c r="B24" s="5">
        <v>8</v>
      </c>
      <c r="C24" s="5" t="s">
        <v>9</v>
      </c>
      <c r="D24" s="5" t="s">
        <v>9</v>
      </c>
      <c r="E24" s="25">
        <f t="shared" si="0"/>
        <v>1</v>
      </c>
      <c r="F24" s="27">
        <v>2.2999999999999998</v>
      </c>
      <c r="G24" s="4"/>
      <c r="H24" s="7" t="str">
        <f t="shared" si="1"/>
        <v>OK</v>
      </c>
    </row>
    <row r="25" spans="1:8" ht="15">
      <c r="A25" s="5">
        <v>2</v>
      </c>
      <c r="B25" s="5">
        <v>9</v>
      </c>
      <c r="C25" s="5" t="s">
        <v>1</v>
      </c>
      <c r="D25" s="5" t="s">
        <v>1</v>
      </c>
      <c r="E25" s="25">
        <f t="shared" si="0"/>
        <v>1</v>
      </c>
      <c r="F25" s="27">
        <v>3.27</v>
      </c>
      <c r="G25" s="4"/>
      <c r="H25" s="7" t="str">
        <f t="shared" si="1"/>
        <v>OK</v>
      </c>
    </row>
    <row r="26" spans="1:8" ht="15">
      <c r="A26" s="5">
        <v>2</v>
      </c>
      <c r="B26" s="5">
        <v>10</v>
      </c>
      <c r="C26" s="5" t="s">
        <v>24</v>
      </c>
      <c r="D26" s="5" t="s">
        <v>29</v>
      </c>
      <c r="E26" s="25">
        <f t="shared" si="0"/>
        <v>0</v>
      </c>
      <c r="F26" s="27">
        <v>3.72</v>
      </c>
      <c r="G26" s="4"/>
      <c r="H26" s="7" t="str">
        <f t="shared" si="1"/>
        <v>OK</v>
      </c>
    </row>
    <row r="27" spans="1:8" ht="15">
      <c r="A27" s="5">
        <v>2</v>
      </c>
      <c r="B27" s="5">
        <v>11</v>
      </c>
      <c r="C27" s="5" t="s">
        <v>11</v>
      </c>
      <c r="D27" s="5" t="s">
        <v>11</v>
      </c>
      <c r="E27" s="25">
        <f t="shared" si="0"/>
        <v>1</v>
      </c>
      <c r="F27" s="27">
        <v>1.84</v>
      </c>
      <c r="G27" s="4"/>
      <c r="H27" s="7" t="str">
        <f t="shared" si="1"/>
        <v>OK</v>
      </c>
    </row>
    <row r="28" spans="1:8" ht="15">
      <c r="A28" s="5">
        <v>2</v>
      </c>
      <c r="B28" s="5">
        <v>12</v>
      </c>
      <c r="C28" s="5" t="s">
        <v>21</v>
      </c>
      <c r="D28" s="5" t="s">
        <v>21</v>
      </c>
      <c r="E28" s="25">
        <f t="shared" si="0"/>
        <v>1</v>
      </c>
      <c r="F28" s="27">
        <v>2.44</v>
      </c>
      <c r="G28" s="4"/>
      <c r="H28" s="7" t="str">
        <f t="shared" si="1"/>
        <v>OK</v>
      </c>
    </row>
    <row r="29" spans="1:8" ht="15">
      <c r="A29" s="5">
        <v>2</v>
      </c>
      <c r="B29" s="5">
        <v>13</v>
      </c>
      <c r="C29" s="5" t="s">
        <v>23</v>
      </c>
      <c r="D29" s="5" t="s">
        <v>23</v>
      </c>
      <c r="E29" s="25">
        <f t="shared" si="0"/>
        <v>1</v>
      </c>
      <c r="F29" s="27">
        <v>1.65</v>
      </c>
      <c r="G29" s="4"/>
      <c r="H29" s="7" t="str">
        <f t="shared" si="1"/>
        <v>OK</v>
      </c>
    </row>
    <row r="30" spans="1:8" ht="15">
      <c r="A30" s="5">
        <v>2</v>
      </c>
      <c r="B30" s="5">
        <v>14</v>
      </c>
      <c r="C30" s="5" t="s">
        <v>17</v>
      </c>
      <c r="D30" s="5" t="s">
        <v>17</v>
      </c>
      <c r="E30" s="25">
        <f t="shared" si="0"/>
        <v>1</v>
      </c>
      <c r="F30" s="27">
        <v>3.48</v>
      </c>
      <c r="G30" s="4"/>
      <c r="H30" s="7" t="str">
        <f t="shared" si="1"/>
        <v>OK</v>
      </c>
    </row>
    <row r="31" spans="1:8" ht="15">
      <c r="A31" s="5">
        <v>2</v>
      </c>
      <c r="B31" s="5">
        <v>15</v>
      </c>
      <c r="C31" s="5" t="s">
        <v>25</v>
      </c>
      <c r="D31" s="5" t="s">
        <v>25</v>
      </c>
      <c r="E31" s="25">
        <f t="shared" si="0"/>
        <v>1</v>
      </c>
      <c r="F31" s="27">
        <v>3.33</v>
      </c>
      <c r="G31" s="4"/>
      <c r="H31" s="7" t="str">
        <f t="shared" si="1"/>
        <v>OK</v>
      </c>
    </row>
    <row r="32" spans="1:8" ht="15">
      <c r="A32" s="5">
        <v>3</v>
      </c>
      <c r="B32" s="5">
        <v>1</v>
      </c>
      <c r="C32" s="5" t="s">
        <v>26</v>
      </c>
      <c r="D32" s="5" t="s">
        <v>16</v>
      </c>
      <c r="E32" s="25">
        <f t="shared" si="0"/>
        <v>0</v>
      </c>
      <c r="F32" s="27">
        <v>3.32</v>
      </c>
      <c r="G32" s="4"/>
      <c r="H32" s="7" t="str">
        <f t="shared" si="1"/>
        <v>OK</v>
      </c>
    </row>
    <row r="33" spans="1:8" ht="15">
      <c r="A33" s="5">
        <v>3</v>
      </c>
      <c r="B33" s="5">
        <v>2</v>
      </c>
      <c r="C33" s="5" t="s">
        <v>10</v>
      </c>
      <c r="D33" s="5" t="s">
        <v>10</v>
      </c>
      <c r="E33" s="25">
        <f t="shared" si="0"/>
        <v>1</v>
      </c>
      <c r="F33" s="27">
        <v>1.02</v>
      </c>
      <c r="G33" s="4"/>
      <c r="H33" s="7" t="str">
        <f t="shared" si="1"/>
        <v>OK</v>
      </c>
    </row>
    <row r="34" spans="1:8" ht="15">
      <c r="A34" s="5">
        <v>3</v>
      </c>
      <c r="B34" s="5">
        <v>3</v>
      </c>
      <c r="C34" s="5" t="s">
        <v>11</v>
      </c>
      <c r="D34" s="5" t="s">
        <v>11</v>
      </c>
      <c r="E34" s="25">
        <f t="shared" si="0"/>
        <v>1</v>
      </c>
      <c r="F34" s="27">
        <v>1.64</v>
      </c>
      <c r="G34" s="4"/>
      <c r="H34" s="7" t="str">
        <f t="shared" si="1"/>
        <v>OK</v>
      </c>
    </row>
    <row r="35" spans="1:8" ht="15">
      <c r="A35" s="5">
        <v>3</v>
      </c>
      <c r="B35" s="5">
        <v>4</v>
      </c>
      <c r="C35" s="5" t="s">
        <v>13</v>
      </c>
      <c r="D35" s="5" t="s">
        <v>13</v>
      </c>
      <c r="E35" s="25">
        <f t="shared" si="0"/>
        <v>1</v>
      </c>
      <c r="F35" s="27">
        <v>2.37</v>
      </c>
      <c r="G35" s="4"/>
      <c r="H35" s="7" t="str">
        <f t="shared" si="1"/>
        <v>OK</v>
      </c>
    </row>
    <row r="36" spans="1:8" ht="15">
      <c r="A36" s="5">
        <v>3</v>
      </c>
      <c r="B36" s="5">
        <v>5</v>
      </c>
      <c r="C36" s="5" t="s">
        <v>11</v>
      </c>
      <c r="D36" s="5" t="s">
        <v>11</v>
      </c>
      <c r="E36" s="25">
        <f t="shared" si="0"/>
        <v>1</v>
      </c>
      <c r="F36" s="27">
        <v>2.5299999999999998</v>
      </c>
      <c r="G36" s="4"/>
      <c r="H36" s="7" t="str">
        <f t="shared" si="1"/>
        <v>OK</v>
      </c>
    </row>
    <row r="37" spans="1:8" ht="15">
      <c r="A37" s="5">
        <v>3</v>
      </c>
      <c r="B37" s="5">
        <v>6</v>
      </c>
      <c r="C37" s="5" t="s">
        <v>9</v>
      </c>
      <c r="D37" s="5" t="s">
        <v>9</v>
      </c>
      <c r="E37" s="25">
        <f t="shared" si="0"/>
        <v>1</v>
      </c>
      <c r="F37" s="27">
        <v>2.88</v>
      </c>
      <c r="G37" s="4"/>
      <c r="H37" s="7" t="str">
        <f t="shared" si="1"/>
        <v>OK</v>
      </c>
    </row>
    <row r="38" spans="1:8" ht="15">
      <c r="A38" s="5">
        <v>3</v>
      </c>
      <c r="B38" s="5">
        <v>7</v>
      </c>
      <c r="C38" s="5" t="s">
        <v>14</v>
      </c>
      <c r="D38" s="5" t="s">
        <v>14</v>
      </c>
      <c r="E38" s="25">
        <f t="shared" si="0"/>
        <v>1</v>
      </c>
      <c r="F38" s="27">
        <v>3.98</v>
      </c>
      <c r="G38" s="4"/>
      <c r="H38" s="7" t="str">
        <f t="shared" si="1"/>
        <v>OK</v>
      </c>
    </row>
    <row r="39" spans="1:8" ht="15">
      <c r="A39" s="5">
        <v>3</v>
      </c>
      <c r="B39" s="5">
        <v>8</v>
      </c>
      <c r="C39" s="5" t="s">
        <v>14</v>
      </c>
      <c r="D39" s="5" t="s">
        <v>14</v>
      </c>
      <c r="E39" s="25">
        <f t="shared" si="0"/>
        <v>1</v>
      </c>
      <c r="F39" s="27">
        <v>2.84</v>
      </c>
      <c r="G39" s="4"/>
      <c r="H39" s="7" t="str">
        <f t="shared" si="1"/>
        <v>OK</v>
      </c>
    </row>
    <row r="40" spans="1:8" ht="15">
      <c r="A40" s="5">
        <v>3</v>
      </c>
      <c r="B40" s="5">
        <v>9</v>
      </c>
      <c r="C40" s="5" t="s">
        <v>26</v>
      </c>
      <c r="D40" s="5" t="s">
        <v>16</v>
      </c>
      <c r="E40" s="25">
        <f t="shared" si="0"/>
        <v>0</v>
      </c>
      <c r="F40" s="27">
        <v>3.26</v>
      </c>
      <c r="G40" s="4"/>
      <c r="H40" s="7" t="str">
        <f t="shared" si="1"/>
        <v>OK</v>
      </c>
    </row>
    <row r="41" spans="1:8" ht="15">
      <c r="A41" s="5">
        <v>3</v>
      </c>
      <c r="B41" s="5">
        <v>10</v>
      </c>
      <c r="C41" s="5" t="s">
        <v>20</v>
      </c>
      <c r="D41" s="5" t="s">
        <v>20</v>
      </c>
      <c r="E41" s="25">
        <f t="shared" si="0"/>
        <v>1</v>
      </c>
      <c r="F41" s="27">
        <v>2.31</v>
      </c>
      <c r="G41" s="4"/>
      <c r="H41" s="7" t="str">
        <f t="shared" si="1"/>
        <v>OK</v>
      </c>
    </row>
    <row r="42" spans="1:8" ht="15">
      <c r="A42" s="5">
        <v>3</v>
      </c>
      <c r="B42" s="5">
        <v>11</v>
      </c>
      <c r="C42" s="5" t="s">
        <v>9</v>
      </c>
      <c r="D42" s="5" t="s">
        <v>13</v>
      </c>
      <c r="E42" s="25">
        <f t="shared" si="0"/>
        <v>0</v>
      </c>
      <c r="F42" s="27">
        <v>3.27</v>
      </c>
      <c r="G42" s="4"/>
      <c r="H42" s="7" t="str">
        <f t="shared" si="1"/>
        <v>OK</v>
      </c>
    </row>
    <row r="43" spans="1:8" ht="15">
      <c r="A43" s="5">
        <v>3</v>
      </c>
      <c r="B43" s="5">
        <v>12</v>
      </c>
      <c r="C43" s="5" t="s">
        <v>27</v>
      </c>
      <c r="D43" s="5" t="s">
        <v>32</v>
      </c>
      <c r="E43" s="25">
        <f t="shared" si="0"/>
        <v>0</v>
      </c>
      <c r="F43" s="27">
        <v>2.67</v>
      </c>
      <c r="G43" s="4"/>
      <c r="H43" s="7" t="str">
        <f t="shared" si="1"/>
        <v>OK</v>
      </c>
    </row>
    <row r="44" spans="1:8" ht="15">
      <c r="A44" s="5">
        <v>3</v>
      </c>
      <c r="B44" s="5">
        <v>13</v>
      </c>
      <c r="C44" s="5" t="s">
        <v>18</v>
      </c>
      <c r="D44" s="5" t="s">
        <v>18</v>
      </c>
      <c r="E44" s="25">
        <f t="shared" si="0"/>
        <v>1</v>
      </c>
      <c r="F44" s="27">
        <v>1.54</v>
      </c>
      <c r="G44" s="4"/>
      <c r="H44" s="7" t="str">
        <f t="shared" si="1"/>
        <v>OK</v>
      </c>
    </row>
    <row r="45" spans="1:8" ht="15">
      <c r="A45" s="5">
        <v>3</v>
      </c>
      <c r="B45" s="5">
        <v>14</v>
      </c>
      <c r="C45" s="5" t="s">
        <v>28</v>
      </c>
      <c r="D45" s="5" t="s">
        <v>28</v>
      </c>
      <c r="E45" s="25">
        <f t="shared" si="0"/>
        <v>1</v>
      </c>
      <c r="F45" s="27">
        <v>1.98</v>
      </c>
      <c r="G45" s="4"/>
      <c r="H45" s="7" t="str">
        <f t="shared" si="1"/>
        <v>OK</v>
      </c>
    </row>
    <row r="46" spans="1:8" ht="15">
      <c r="A46" s="5">
        <v>3</v>
      </c>
      <c r="B46" s="5">
        <v>15</v>
      </c>
      <c r="C46" s="5" t="s">
        <v>10</v>
      </c>
      <c r="D46" s="5" t="s">
        <v>10</v>
      </c>
      <c r="E46" s="25">
        <f t="shared" si="0"/>
        <v>1</v>
      </c>
      <c r="F46" s="27">
        <v>1.39</v>
      </c>
      <c r="G46" s="4"/>
      <c r="H46" s="7" t="str">
        <f t="shared" si="1"/>
        <v>OK</v>
      </c>
    </row>
    <row r="47" spans="1:8" ht="15">
      <c r="A47" s="5">
        <v>4</v>
      </c>
      <c r="B47" s="5">
        <v>1</v>
      </c>
      <c r="C47" s="5" t="s">
        <v>29</v>
      </c>
      <c r="D47" s="5" t="s">
        <v>24</v>
      </c>
      <c r="E47" s="25">
        <f t="shared" si="0"/>
        <v>0</v>
      </c>
      <c r="F47" s="27">
        <v>3.58</v>
      </c>
      <c r="G47" s="4"/>
      <c r="H47" s="7" t="str">
        <f t="shared" si="1"/>
        <v>OK</v>
      </c>
    </row>
    <row r="48" spans="1:8" ht="15">
      <c r="A48" s="5">
        <v>4</v>
      </c>
      <c r="B48" s="5">
        <v>2</v>
      </c>
      <c r="C48" s="5" t="s">
        <v>30</v>
      </c>
      <c r="D48" s="5" t="s">
        <v>30</v>
      </c>
      <c r="E48" s="25">
        <f t="shared" si="0"/>
        <v>1</v>
      </c>
      <c r="F48" s="27">
        <v>3.17</v>
      </c>
      <c r="G48" s="4"/>
      <c r="H48" s="7" t="str">
        <f t="shared" si="1"/>
        <v>OK</v>
      </c>
    </row>
    <row r="49" spans="1:8" ht="15">
      <c r="A49" s="5">
        <v>4</v>
      </c>
      <c r="B49" s="5">
        <v>3</v>
      </c>
      <c r="C49" s="5" t="s">
        <v>24</v>
      </c>
      <c r="D49" s="5" t="s">
        <v>24</v>
      </c>
      <c r="E49" s="25">
        <f t="shared" si="0"/>
        <v>1</v>
      </c>
      <c r="F49" s="27">
        <v>3.47</v>
      </c>
      <c r="G49" s="4"/>
      <c r="H49" s="7" t="str">
        <f t="shared" si="1"/>
        <v>OK</v>
      </c>
    </row>
    <row r="50" spans="1:8" ht="15">
      <c r="A50" s="5">
        <v>4</v>
      </c>
      <c r="B50" s="5">
        <v>4</v>
      </c>
      <c r="C50" s="5" t="s">
        <v>12</v>
      </c>
      <c r="D50" s="5" t="s">
        <v>12</v>
      </c>
      <c r="E50" s="25">
        <f t="shared" si="0"/>
        <v>1</v>
      </c>
      <c r="F50" s="27">
        <v>3.27</v>
      </c>
      <c r="G50" s="4"/>
      <c r="H50" s="7" t="str">
        <f t="shared" si="1"/>
        <v>OK</v>
      </c>
    </row>
    <row r="51" spans="1:8" ht="15">
      <c r="A51" s="5">
        <v>4</v>
      </c>
      <c r="B51" s="5">
        <v>5</v>
      </c>
      <c r="C51" s="5" t="s">
        <v>11</v>
      </c>
      <c r="D51" s="5" t="s">
        <v>60</v>
      </c>
      <c r="E51" s="25">
        <f t="shared" si="0"/>
        <v>0</v>
      </c>
      <c r="F51" s="27">
        <v>2.64</v>
      </c>
      <c r="G51" s="4"/>
      <c r="H51" s="7" t="str">
        <f t="shared" si="1"/>
        <v>OK</v>
      </c>
    </row>
    <row r="52" spans="1:8" ht="15">
      <c r="A52" s="5">
        <v>4</v>
      </c>
      <c r="B52" s="5">
        <v>6</v>
      </c>
      <c r="C52" s="5" t="s">
        <v>13</v>
      </c>
      <c r="D52" s="5" t="s">
        <v>13</v>
      </c>
      <c r="E52" s="25">
        <f t="shared" si="0"/>
        <v>1</v>
      </c>
      <c r="F52" s="27">
        <v>2.04</v>
      </c>
      <c r="G52" s="4"/>
      <c r="H52" s="7" t="str">
        <f t="shared" si="1"/>
        <v>OK</v>
      </c>
    </row>
    <row r="53" spans="1:8" ht="15">
      <c r="A53" s="5">
        <v>4</v>
      </c>
      <c r="B53" s="5">
        <v>7</v>
      </c>
      <c r="C53" s="5" t="s">
        <v>31</v>
      </c>
      <c r="D53" s="5" t="s">
        <v>30</v>
      </c>
      <c r="E53" s="25">
        <f t="shared" si="0"/>
        <v>0</v>
      </c>
      <c r="F53" s="27">
        <v>1.91</v>
      </c>
      <c r="G53" s="4"/>
      <c r="H53" s="7" t="str">
        <f t="shared" si="1"/>
        <v>OK</v>
      </c>
    </row>
    <row r="54" spans="1:8" ht="15">
      <c r="A54" s="5">
        <v>4</v>
      </c>
      <c r="B54" s="5">
        <v>8</v>
      </c>
      <c r="C54" s="5" t="s">
        <v>32</v>
      </c>
      <c r="D54" s="5" t="s">
        <v>32</v>
      </c>
      <c r="E54" s="25">
        <f t="shared" si="0"/>
        <v>1</v>
      </c>
      <c r="F54" s="27">
        <v>1.17</v>
      </c>
      <c r="G54" s="4"/>
      <c r="H54" s="7" t="str">
        <f t="shared" si="1"/>
        <v>OK</v>
      </c>
    </row>
    <row r="55" spans="1:8" ht="15">
      <c r="A55" s="5">
        <v>4</v>
      </c>
      <c r="B55" s="5">
        <v>9</v>
      </c>
      <c r="C55" s="5" t="s">
        <v>12</v>
      </c>
      <c r="D55" s="5" t="s">
        <v>12</v>
      </c>
      <c r="E55" s="25">
        <f t="shared" si="0"/>
        <v>1</v>
      </c>
      <c r="F55" s="27">
        <v>2.71</v>
      </c>
      <c r="G55" s="4"/>
      <c r="H55" s="7" t="str">
        <f t="shared" si="1"/>
        <v>OK</v>
      </c>
    </row>
    <row r="56" spans="1:8" ht="15">
      <c r="A56" s="5">
        <v>4</v>
      </c>
      <c r="B56" s="5">
        <v>10</v>
      </c>
      <c r="C56" s="5" t="s">
        <v>31</v>
      </c>
      <c r="D56" s="5" t="s">
        <v>31</v>
      </c>
      <c r="E56" s="25">
        <f t="shared" si="0"/>
        <v>1</v>
      </c>
      <c r="F56" s="27">
        <v>3.64</v>
      </c>
      <c r="G56" s="4"/>
      <c r="H56" s="7" t="str">
        <f t="shared" si="1"/>
        <v>OK</v>
      </c>
    </row>
    <row r="57" spans="1:8" ht="15">
      <c r="A57" s="5">
        <v>4</v>
      </c>
      <c r="B57" s="5">
        <v>11</v>
      </c>
      <c r="C57" s="5" t="s">
        <v>29</v>
      </c>
      <c r="D57" s="5" t="s">
        <v>29</v>
      </c>
      <c r="E57" s="25">
        <f t="shared" si="0"/>
        <v>1</v>
      </c>
      <c r="F57" s="27">
        <v>2.69</v>
      </c>
      <c r="G57" s="4"/>
      <c r="H57" s="7" t="str">
        <f t="shared" si="1"/>
        <v>OK</v>
      </c>
    </row>
    <row r="58" spans="1:8" ht="15">
      <c r="A58" s="5">
        <v>4</v>
      </c>
      <c r="B58" s="5">
        <v>12</v>
      </c>
      <c r="C58" s="5" t="s">
        <v>20</v>
      </c>
      <c r="D58" s="5" t="s">
        <v>20</v>
      </c>
      <c r="E58" s="25">
        <f t="shared" si="0"/>
        <v>1</v>
      </c>
      <c r="F58" s="27">
        <v>1.02</v>
      </c>
      <c r="G58" s="4"/>
      <c r="H58" s="7" t="str">
        <f t="shared" si="1"/>
        <v>OK</v>
      </c>
    </row>
    <row r="59" spans="1:8" ht="15">
      <c r="A59" s="5">
        <v>4</v>
      </c>
      <c r="B59" s="5">
        <v>13</v>
      </c>
      <c r="C59" s="5" t="s">
        <v>9</v>
      </c>
      <c r="D59" s="5" t="s">
        <v>13</v>
      </c>
      <c r="E59" s="25">
        <f t="shared" si="0"/>
        <v>0</v>
      </c>
      <c r="F59" s="27">
        <v>1.04</v>
      </c>
      <c r="G59" s="4"/>
      <c r="H59" s="7" t="str">
        <f t="shared" si="1"/>
        <v>OK</v>
      </c>
    </row>
    <row r="60" spans="1:8" ht="15">
      <c r="A60" s="5">
        <v>4</v>
      </c>
      <c r="B60" s="5">
        <v>14</v>
      </c>
      <c r="C60" s="5" t="s">
        <v>16</v>
      </c>
      <c r="D60" s="5" t="s">
        <v>16</v>
      </c>
      <c r="E60" s="25">
        <f t="shared" si="0"/>
        <v>1</v>
      </c>
      <c r="F60" s="27">
        <v>2.42</v>
      </c>
      <c r="G60" s="4"/>
      <c r="H60" s="7" t="str">
        <f t="shared" si="1"/>
        <v>OK</v>
      </c>
    </row>
    <row r="61" spans="1:8" ht="15">
      <c r="A61" s="5">
        <v>4</v>
      </c>
      <c r="B61" s="5">
        <v>15</v>
      </c>
      <c r="C61" s="5" t="s">
        <v>14</v>
      </c>
      <c r="D61" s="5" t="s">
        <v>14</v>
      </c>
      <c r="E61" s="25">
        <f t="shared" si="0"/>
        <v>1</v>
      </c>
      <c r="F61" s="27">
        <v>3.24</v>
      </c>
      <c r="G61" s="4"/>
      <c r="H61" s="7" t="str">
        <f t="shared" si="1"/>
        <v>OK</v>
      </c>
    </row>
    <row r="62" spans="1:8" ht="15">
      <c r="A62" s="5">
        <v>5</v>
      </c>
      <c r="B62" s="5">
        <v>1</v>
      </c>
      <c r="C62" s="5" t="s">
        <v>14</v>
      </c>
      <c r="D62" s="5" t="s">
        <v>14</v>
      </c>
      <c r="E62" s="25">
        <f t="shared" si="0"/>
        <v>1</v>
      </c>
      <c r="F62" s="27">
        <v>1.39</v>
      </c>
      <c r="G62" s="4"/>
      <c r="H62" s="7" t="str">
        <f t="shared" si="1"/>
        <v>OK</v>
      </c>
    </row>
    <row r="63" spans="1:8" ht="15">
      <c r="A63" s="5">
        <v>5</v>
      </c>
      <c r="B63" s="5">
        <v>2</v>
      </c>
      <c r="C63" s="5" t="s">
        <v>18</v>
      </c>
      <c r="D63" s="5" t="s">
        <v>18</v>
      </c>
      <c r="E63" s="25">
        <f t="shared" si="0"/>
        <v>1</v>
      </c>
      <c r="F63" s="27">
        <v>3.45</v>
      </c>
      <c r="G63" s="4"/>
      <c r="H63" s="7" t="str">
        <f t="shared" si="1"/>
        <v>OK</v>
      </c>
    </row>
    <row r="64" spans="1:8" ht="15">
      <c r="A64" s="5">
        <v>5</v>
      </c>
      <c r="B64" s="5">
        <v>3</v>
      </c>
      <c r="C64" s="5" t="s">
        <v>31</v>
      </c>
      <c r="D64" s="5" t="s">
        <v>31</v>
      </c>
      <c r="E64" s="25">
        <f t="shared" si="0"/>
        <v>1</v>
      </c>
      <c r="F64" s="27">
        <v>2.78</v>
      </c>
      <c r="G64" s="4"/>
      <c r="H64" s="7" t="str">
        <f t="shared" si="1"/>
        <v>OK</v>
      </c>
    </row>
    <row r="65" spans="1:8" ht="15">
      <c r="A65" s="5">
        <v>5</v>
      </c>
      <c r="B65" s="5">
        <v>4</v>
      </c>
      <c r="C65" s="5" t="s">
        <v>26</v>
      </c>
      <c r="D65" s="5" t="s">
        <v>26</v>
      </c>
      <c r="E65" s="25">
        <f t="shared" si="0"/>
        <v>1</v>
      </c>
      <c r="F65" s="27">
        <v>3.53</v>
      </c>
      <c r="G65" s="4"/>
      <c r="H65" s="7" t="str">
        <f t="shared" si="1"/>
        <v>OK</v>
      </c>
    </row>
    <row r="66" spans="1:8" ht="15">
      <c r="A66" s="5">
        <v>5</v>
      </c>
      <c r="B66" s="5">
        <v>5</v>
      </c>
      <c r="C66" s="5" t="s">
        <v>16</v>
      </c>
      <c r="D66" s="5" t="s">
        <v>16</v>
      </c>
      <c r="E66" s="25">
        <f t="shared" ref="E66:E129" si="2">IF(D66="","",IF(UPPER(TRIM(D66))=UPPER(TRIM(C66)),1,0))</f>
        <v>1</v>
      </c>
      <c r="F66" s="27">
        <v>3.51</v>
      </c>
      <c r="G66" s="4"/>
      <c r="H66" s="7" t="str">
        <f t="shared" si="1"/>
        <v>OK</v>
      </c>
    </row>
    <row r="67" spans="1:8" ht="15">
      <c r="A67" s="5">
        <v>5</v>
      </c>
      <c r="B67" s="5">
        <v>6</v>
      </c>
      <c r="C67" s="5" t="s">
        <v>9</v>
      </c>
      <c r="D67" s="5" t="s">
        <v>9</v>
      </c>
      <c r="E67" s="25">
        <f t="shared" si="2"/>
        <v>1</v>
      </c>
      <c r="F67" s="27">
        <v>3.29</v>
      </c>
      <c r="G67" s="4"/>
      <c r="H67" s="7" t="str">
        <f t="shared" ref="H67:H130" si="3">IF(AND(D67&lt;&gt;"",F67&lt;&gt;""),"OK","PENDIENTE")</f>
        <v>OK</v>
      </c>
    </row>
    <row r="68" spans="1:8" ht="15">
      <c r="A68" s="5">
        <v>5</v>
      </c>
      <c r="B68" s="5">
        <v>7</v>
      </c>
      <c r="C68" s="5" t="s">
        <v>20</v>
      </c>
      <c r="D68" s="5" t="s">
        <v>20</v>
      </c>
      <c r="E68" s="25">
        <f t="shared" si="2"/>
        <v>1</v>
      </c>
      <c r="F68" s="27">
        <v>2.72</v>
      </c>
      <c r="G68" s="4"/>
      <c r="H68" s="7" t="str">
        <f t="shared" si="3"/>
        <v>OK</v>
      </c>
    </row>
    <row r="69" spans="1:8" ht="15">
      <c r="A69" s="5">
        <v>5</v>
      </c>
      <c r="B69" s="5">
        <v>8</v>
      </c>
      <c r="C69" s="5" t="s">
        <v>15</v>
      </c>
      <c r="D69" s="5" t="s">
        <v>21</v>
      </c>
      <c r="E69" s="25">
        <f t="shared" si="2"/>
        <v>0</v>
      </c>
      <c r="F69" s="27">
        <v>1.64</v>
      </c>
      <c r="G69" s="4"/>
      <c r="H69" s="7" t="str">
        <f t="shared" si="3"/>
        <v>OK</v>
      </c>
    </row>
    <row r="70" spans="1:8" ht="15">
      <c r="A70" s="5">
        <v>5</v>
      </c>
      <c r="B70" s="5">
        <v>9</v>
      </c>
      <c r="C70" s="5" t="s">
        <v>26</v>
      </c>
      <c r="D70" s="5" t="s">
        <v>26</v>
      </c>
      <c r="E70" s="25">
        <f t="shared" si="2"/>
        <v>1</v>
      </c>
      <c r="F70" s="27">
        <v>1.77</v>
      </c>
      <c r="G70" s="4"/>
      <c r="H70" s="7" t="str">
        <f t="shared" si="3"/>
        <v>OK</v>
      </c>
    </row>
    <row r="71" spans="1:8" ht="15">
      <c r="A71" s="5">
        <v>5</v>
      </c>
      <c r="B71" s="5">
        <v>10</v>
      </c>
      <c r="C71" s="5" t="s">
        <v>16</v>
      </c>
      <c r="D71" s="5" t="s">
        <v>60</v>
      </c>
      <c r="E71" s="25">
        <f t="shared" si="2"/>
        <v>0</v>
      </c>
      <c r="F71" s="27">
        <v>3.51</v>
      </c>
      <c r="G71" s="4"/>
      <c r="H71" s="7" t="str">
        <f t="shared" si="3"/>
        <v>OK</v>
      </c>
    </row>
    <row r="72" spans="1:8" ht="15">
      <c r="A72" s="5">
        <v>5</v>
      </c>
      <c r="B72" s="5">
        <v>11</v>
      </c>
      <c r="C72" s="5" t="s">
        <v>28</v>
      </c>
      <c r="D72" s="5" t="s">
        <v>60</v>
      </c>
      <c r="E72" s="25">
        <f t="shared" si="2"/>
        <v>0</v>
      </c>
      <c r="F72" s="27">
        <v>1.61</v>
      </c>
      <c r="G72" s="4"/>
      <c r="H72" s="7" t="str">
        <f t="shared" si="3"/>
        <v>OK</v>
      </c>
    </row>
    <row r="73" spans="1:8" ht="15">
      <c r="A73" s="5">
        <v>5</v>
      </c>
      <c r="B73" s="5">
        <v>12</v>
      </c>
      <c r="C73" s="5" t="s">
        <v>14</v>
      </c>
      <c r="D73" s="5" t="s">
        <v>14</v>
      </c>
      <c r="E73" s="25">
        <f t="shared" si="2"/>
        <v>1</v>
      </c>
      <c r="F73" s="27">
        <v>2.76</v>
      </c>
      <c r="G73" s="4"/>
      <c r="H73" s="7" t="str">
        <f t="shared" si="3"/>
        <v>OK</v>
      </c>
    </row>
    <row r="74" spans="1:8" ht="15">
      <c r="A74" s="5">
        <v>5</v>
      </c>
      <c r="B74" s="5">
        <v>13</v>
      </c>
      <c r="C74" s="5" t="s">
        <v>33</v>
      </c>
      <c r="D74" s="5" t="s">
        <v>33</v>
      </c>
      <c r="E74" s="25">
        <f t="shared" si="2"/>
        <v>1</v>
      </c>
      <c r="F74" s="27">
        <v>3.76</v>
      </c>
      <c r="G74" s="4"/>
      <c r="H74" s="7" t="str">
        <f t="shared" si="3"/>
        <v>OK</v>
      </c>
    </row>
    <row r="75" spans="1:8" ht="15">
      <c r="A75" s="5">
        <v>5</v>
      </c>
      <c r="B75" s="5">
        <v>14</v>
      </c>
      <c r="C75" s="5" t="s">
        <v>27</v>
      </c>
      <c r="D75" s="5" t="s">
        <v>27</v>
      </c>
      <c r="E75" s="25">
        <f t="shared" si="2"/>
        <v>1</v>
      </c>
      <c r="F75" s="27">
        <v>2.83</v>
      </c>
      <c r="G75" s="4"/>
      <c r="H75" s="7" t="str">
        <f t="shared" si="3"/>
        <v>OK</v>
      </c>
    </row>
    <row r="76" spans="1:8" ht="15">
      <c r="A76" s="5">
        <v>5</v>
      </c>
      <c r="B76" s="5">
        <v>15</v>
      </c>
      <c r="C76" s="5" t="s">
        <v>19</v>
      </c>
      <c r="D76" s="5" t="s">
        <v>19</v>
      </c>
      <c r="E76" s="25">
        <f t="shared" si="2"/>
        <v>1</v>
      </c>
      <c r="F76" s="27">
        <v>2.0699999999999998</v>
      </c>
      <c r="G76" s="4"/>
      <c r="H76" s="7" t="str">
        <f t="shared" si="3"/>
        <v>OK</v>
      </c>
    </row>
    <row r="77" spans="1:8" ht="15">
      <c r="A77" s="5">
        <v>6</v>
      </c>
      <c r="B77" s="5">
        <v>1</v>
      </c>
      <c r="C77" s="5" t="s">
        <v>20</v>
      </c>
      <c r="D77" s="5" t="s">
        <v>20</v>
      </c>
      <c r="E77" s="25">
        <f t="shared" si="2"/>
        <v>1</v>
      </c>
      <c r="F77" s="27">
        <v>2.7</v>
      </c>
      <c r="G77" s="4"/>
      <c r="H77" s="7" t="str">
        <f t="shared" si="3"/>
        <v>OK</v>
      </c>
    </row>
    <row r="78" spans="1:8" ht="15">
      <c r="A78" s="5">
        <v>6</v>
      </c>
      <c r="B78" s="5">
        <v>2</v>
      </c>
      <c r="C78" s="5" t="s">
        <v>25</v>
      </c>
      <c r="D78" s="5" t="s">
        <v>23</v>
      </c>
      <c r="E78" s="25">
        <f t="shared" si="2"/>
        <v>0</v>
      </c>
      <c r="F78" s="27">
        <v>1.81</v>
      </c>
      <c r="G78" s="4"/>
      <c r="H78" s="7" t="str">
        <f t="shared" si="3"/>
        <v>OK</v>
      </c>
    </row>
    <row r="79" spans="1:8" ht="15">
      <c r="A79" s="5">
        <v>6</v>
      </c>
      <c r="B79" s="5">
        <v>3</v>
      </c>
      <c r="C79" s="5" t="s">
        <v>18</v>
      </c>
      <c r="D79" s="5" t="s">
        <v>18</v>
      </c>
      <c r="E79" s="25">
        <f t="shared" si="2"/>
        <v>1</v>
      </c>
      <c r="F79" s="27">
        <v>1.1399999999999999</v>
      </c>
      <c r="G79" s="4"/>
      <c r="H79" s="7" t="str">
        <f t="shared" si="3"/>
        <v>OK</v>
      </c>
    </row>
    <row r="80" spans="1:8" ht="15">
      <c r="A80" s="5">
        <v>6</v>
      </c>
      <c r="B80" s="5">
        <v>4</v>
      </c>
      <c r="C80" s="5" t="s">
        <v>24</v>
      </c>
      <c r="D80" s="5" t="s">
        <v>24</v>
      </c>
      <c r="E80" s="25">
        <f t="shared" si="2"/>
        <v>1</v>
      </c>
      <c r="F80" s="27">
        <v>1.65</v>
      </c>
      <c r="G80" s="4"/>
      <c r="H80" s="7" t="str">
        <f t="shared" si="3"/>
        <v>OK</v>
      </c>
    </row>
    <row r="81" spans="1:8" ht="15">
      <c r="A81" s="5">
        <v>6</v>
      </c>
      <c r="B81" s="5">
        <v>5</v>
      </c>
      <c r="C81" s="5" t="s">
        <v>32</v>
      </c>
      <c r="D81" s="5" t="s">
        <v>32</v>
      </c>
      <c r="E81" s="25">
        <f t="shared" si="2"/>
        <v>1</v>
      </c>
      <c r="F81" s="27">
        <v>1.1599999999999999</v>
      </c>
      <c r="G81" s="4"/>
      <c r="H81" s="7" t="str">
        <f t="shared" si="3"/>
        <v>OK</v>
      </c>
    </row>
    <row r="82" spans="1:8" ht="15">
      <c r="A82" s="5">
        <v>6</v>
      </c>
      <c r="B82" s="5">
        <v>6</v>
      </c>
      <c r="C82" s="5" t="s">
        <v>19</v>
      </c>
      <c r="D82" s="5" t="s">
        <v>19</v>
      </c>
      <c r="E82" s="25">
        <f t="shared" si="2"/>
        <v>1</v>
      </c>
      <c r="F82" s="27">
        <v>2.2599999999999998</v>
      </c>
      <c r="G82" s="4"/>
      <c r="H82" s="7" t="str">
        <f t="shared" si="3"/>
        <v>OK</v>
      </c>
    </row>
    <row r="83" spans="1:8" ht="15">
      <c r="A83" s="5">
        <v>6</v>
      </c>
      <c r="B83" s="5">
        <v>7</v>
      </c>
      <c r="C83" s="5" t="s">
        <v>21</v>
      </c>
      <c r="D83" s="5" t="s">
        <v>21</v>
      </c>
      <c r="E83" s="25">
        <f t="shared" si="2"/>
        <v>1</v>
      </c>
      <c r="F83" s="27">
        <v>1.48</v>
      </c>
      <c r="G83" s="4"/>
      <c r="H83" s="7" t="str">
        <f t="shared" si="3"/>
        <v>OK</v>
      </c>
    </row>
    <row r="84" spans="1:8" ht="15">
      <c r="A84" s="5">
        <v>6</v>
      </c>
      <c r="B84" s="5">
        <v>8</v>
      </c>
      <c r="C84" s="5" t="s">
        <v>13</v>
      </c>
      <c r="D84" s="5" t="s">
        <v>13</v>
      </c>
      <c r="E84" s="25">
        <f t="shared" si="2"/>
        <v>1</v>
      </c>
      <c r="F84" s="27">
        <v>1.46</v>
      </c>
      <c r="G84" s="4"/>
      <c r="H84" s="7" t="str">
        <f t="shared" si="3"/>
        <v>OK</v>
      </c>
    </row>
    <row r="85" spans="1:8" ht="15">
      <c r="A85" s="5">
        <v>6</v>
      </c>
      <c r="B85" s="5">
        <v>9</v>
      </c>
      <c r="C85" s="5" t="s">
        <v>10</v>
      </c>
      <c r="D85" s="5" t="s">
        <v>11</v>
      </c>
      <c r="E85" s="25">
        <f t="shared" si="2"/>
        <v>0</v>
      </c>
      <c r="F85" s="27">
        <v>3.12</v>
      </c>
      <c r="G85" s="4"/>
      <c r="H85" s="7" t="str">
        <f t="shared" si="3"/>
        <v>OK</v>
      </c>
    </row>
    <row r="86" spans="1:8" ht="15">
      <c r="A86" s="5">
        <v>6</v>
      </c>
      <c r="B86" s="5">
        <v>10</v>
      </c>
      <c r="C86" s="5" t="s">
        <v>11</v>
      </c>
      <c r="D86" s="5" t="s">
        <v>11</v>
      </c>
      <c r="E86" s="25">
        <f t="shared" si="2"/>
        <v>1</v>
      </c>
      <c r="F86" s="27">
        <v>3.38</v>
      </c>
      <c r="G86" s="4"/>
      <c r="H86" s="7" t="str">
        <f t="shared" si="3"/>
        <v>OK</v>
      </c>
    </row>
    <row r="87" spans="1:8" ht="15">
      <c r="A87" s="5">
        <v>6</v>
      </c>
      <c r="B87" s="5">
        <v>11</v>
      </c>
      <c r="C87" s="5" t="s">
        <v>33</v>
      </c>
      <c r="D87" s="5" t="s">
        <v>10</v>
      </c>
      <c r="E87" s="25">
        <f t="shared" si="2"/>
        <v>0</v>
      </c>
      <c r="F87" s="27">
        <v>2.35</v>
      </c>
      <c r="G87" s="4"/>
      <c r="H87" s="7" t="str">
        <f t="shared" si="3"/>
        <v>OK</v>
      </c>
    </row>
    <row r="88" spans="1:8" ht="15">
      <c r="A88" s="5">
        <v>6</v>
      </c>
      <c r="B88" s="5">
        <v>12</v>
      </c>
      <c r="C88" s="5" t="s">
        <v>17</v>
      </c>
      <c r="D88" s="5" t="s">
        <v>17</v>
      </c>
      <c r="E88" s="25">
        <f t="shared" si="2"/>
        <v>1</v>
      </c>
      <c r="F88" s="27">
        <v>2.82</v>
      </c>
      <c r="G88" s="4"/>
      <c r="H88" s="7" t="str">
        <f t="shared" si="3"/>
        <v>OK</v>
      </c>
    </row>
    <row r="89" spans="1:8" ht="15">
      <c r="A89" s="5">
        <v>6</v>
      </c>
      <c r="B89" s="5">
        <v>13</v>
      </c>
      <c r="C89" s="5" t="s">
        <v>1</v>
      </c>
      <c r="D89" s="5" t="s">
        <v>1</v>
      </c>
      <c r="E89" s="25">
        <f t="shared" si="2"/>
        <v>1</v>
      </c>
      <c r="F89" s="27">
        <v>3.77</v>
      </c>
      <c r="G89" s="4"/>
      <c r="H89" s="7" t="str">
        <f t="shared" si="3"/>
        <v>OK</v>
      </c>
    </row>
    <row r="90" spans="1:8" ht="15">
      <c r="A90" s="5">
        <v>6</v>
      </c>
      <c r="B90" s="5">
        <v>14</v>
      </c>
      <c r="C90" s="5" t="s">
        <v>28</v>
      </c>
      <c r="D90" s="5" t="s">
        <v>13</v>
      </c>
      <c r="E90" s="25">
        <f t="shared" si="2"/>
        <v>0</v>
      </c>
      <c r="F90" s="27">
        <v>2.4300000000000002</v>
      </c>
      <c r="G90" s="4"/>
      <c r="H90" s="7" t="str">
        <f t="shared" si="3"/>
        <v>OK</v>
      </c>
    </row>
    <row r="91" spans="1:8" ht="15">
      <c r="A91" s="5">
        <v>6</v>
      </c>
      <c r="B91" s="5">
        <v>15</v>
      </c>
      <c r="C91" s="5" t="s">
        <v>15</v>
      </c>
      <c r="D91" s="5" t="s">
        <v>15</v>
      </c>
      <c r="E91" s="25">
        <f t="shared" si="2"/>
        <v>1</v>
      </c>
      <c r="F91" s="27">
        <v>1.1000000000000001</v>
      </c>
      <c r="G91" s="4"/>
      <c r="H91" s="7" t="str">
        <f t="shared" si="3"/>
        <v>OK</v>
      </c>
    </row>
    <row r="92" spans="1:8" ht="15">
      <c r="A92" s="5">
        <v>7</v>
      </c>
      <c r="B92" s="5">
        <v>1</v>
      </c>
      <c r="C92" s="5" t="s">
        <v>23</v>
      </c>
      <c r="D92" s="5" t="s">
        <v>25</v>
      </c>
      <c r="E92" s="25">
        <f t="shared" si="2"/>
        <v>0</v>
      </c>
      <c r="F92" s="27">
        <v>2.5</v>
      </c>
      <c r="G92" s="4"/>
      <c r="H92" s="7" t="str">
        <f t="shared" si="3"/>
        <v>OK</v>
      </c>
    </row>
    <row r="93" spans="1:8" ht="15">
      <c r="A93" s="5">
        <v>7</v>
      </c>
      <c r="B93" s="5">
        <v>2</v>
      </c>
      <c r="C93" s="5" t="s">
        <v>33</v>
      </c>
      <c r="D93" s="5" t="s">
        <v>33</v>
      </c>
      <c r="E93" s="25">
        <f t="shared" si="2"/>
        <v>1</v>
      </c>
      <c r="F93" s="27">
        <v>1.97</v>
      </c>
      <c r="G93" s="4"/>
      <c r="H93" s="7" t="str">
        <f t="shared" si="3"/>
        <v>OK</v>
      </c>
    </row>
    <row r="94" spans="1:8" ht="15">
      <c r="A94" s="5">
        <v>7</v>
      </c>
      <c r="B94" s="5">
        <v>3</v>
      </c>
      <c r="C94" s="5" t="s">
        <v>21</v>
      </c>
      <c r="D94" s="5" t="s">
        <v>21</v>
      </c>
      <c r="E94" s="25">
        <f t="shared" si="2"/>
        <v>1</v>
      </c>
      <c r="F94" s="27">
        <v>2.41</v>
      </c>
      <c r="G94" s="4"/>
      <c r="H94" s="7" t="str">
        <f t="shared" si="3"/>
        <v>OK</v>
      </c>
    </row>
    <row r="95" spans="1:8" ht="15">
      <c r="A95" s="5">
        <v>7</v>
      </c>
      <c r="B95" s="5">
        <v>4</v>
      </c>
      <c r="C95" s="5" t="s">
        <v>25</v>
      </c>
      <c r="D95" s="5" t="s">
        <v>23</v>
      </c>
      <c r="E95" s="25">
        <f t="shared" si="2"/>
        <v>0</v>
      </c>
      <c r="F95" s="27">
        <v>2.87</v>
      </c>
      <c r="G95" s="4"/>
      <c r="H95" s="7" t="str">
        <f t="shared" si="3"/>
        <v>OK</v>
      </c>
    </row>
    <row r="96" spans="1:8" ht="15">
      <c r="A96" s="5">
        <v>7</v>
      </c>
      <c r="B96" s="5">
        <v>5</v>
      </c>
      <c r="C96" s="5" t="s">
        <v>18</v>
      </c>
      <c r="D96" s="5" t="s">
        <v>18</v>
      </c>
      <c r="E96" s="25">
        <f t="shared" si="2"/>
        <v>1</v>
      </c>
      <c r="F96" s="27">
        <v>2.34</v>
      </c>
      <c r="G96" s="4"/>
      <c r="H96" s="7" t="str">
        <f t="shared" si="3"/>
        <v>OK</v>
      </c>
    </row>
    <row r="97" spans="1:8" ht="15">
      <c r="A97" s="5">
        <v>7</v>
      </c>
      <c r="B97" s="5">
        <v>6</v>
      </c>
      <c r="C97" s="5" t="s">
        <v>27</v>
      </c>
      <c r="D97" s="5" t="s">
        <v>27</v>
      </c>
      <c r="E97" s="25">
        <f t="shared" si="2"/>
        <v>1</v>
      </c>
      <c r="F97" s="27">
        <v>3.63</v>
      </c>
      <c r="G97" s="4"/>
      <c r="H97" s="7" t="str">
        <f t="shared" si="3"/>
        <v>OK</v>
      </c>
    </row>
    <row r="98" spans="1:8" ht="15">
      <c r="A98" s="5">
        <v>7</v>
      </c>
      <c r="B98" s="5">
        <v>7</v>
      </c>
      <c r="C98" s="5" t="s">
        <v>15</v>
      </c>
      <c r="D98" s="5" t="s">
        <v>15</v>
      </c>
      <c r="E98" s="25">
        <f t="shared" si="2"/>
        <v>1</v>
      </c>
      <c r="F98" s="27">
        <v>1.22</v>
      </c>
      <c r="G98" s="4"/>
      <c r="H98" s="7" t="str">
        <f t="shared" si="3"/>
        <v>OK</v>
      </c>
    </row>
    <row r="99" spans="1:8" ht="15">
      <c r="A99" s="5">
        <v>7</v>
      </c>
      <c r="B99" s="5">
        <v>8</v>
      </c>
      <c r="C99" s="5" t="s">
        <v>9</v>
      </c>
      <c r="D99" s="5" t="s">
        <v>13</v>
      </c>
      <c r="E99" s="25">
        <f t="shared" si="2"/>
        <v>0</v>
      </c>
      <c r="F99" s="27">
        <v>2.75</v>
      </c>
      <c r="G99" s="4"/>
      <c r="H99" s="7" t="str">
        <f t="shared" si="3"/>
        <v>OK</v>
      </c>
    </row>
    <row r="100" spans="1:8" ht="15">
      <c r="A100" s="5">
        <v>7</v>
      </c>
      <c r="B100" s="5">
        <v>9</v>
      </c>
      <c r="C100" s="5" t="s">
        <v>30</v>
      </c>
      <c r="D100" s="5" t="s">
        <v>31</v>
      </c>
      <c r="E100" s="25">
        <f t="shared" si="2"/>
        <v>0</v>
      </c>
      <c r="F100" s="27">
        <v>2.2200000000000002</v>
      </c>
      <c r="G100" s="4"/>
      <c r="H100" s="7" t="str">
        <f t="shared" si="3"/>
        <v>OK</v>
      </c>
    </row>
    <row r="101" spans="1:8" ht="15">
      <c r="A101" s="5">
        <v>7</v>
      </c>
      <c r="B101" s="5">
        <v>10</v>
      </c>
      <c r="C101" s="5" t="s">
        <v>10</v>
      </c>
      <c r="D101" s="5" t="s">
        <v>10</v>
      </c>
      <c r="E101" s="25">
        <f t="shared" si="2"/>
        <v>1</v>
      </c>
      <c r="F101" s="27">
        <v>3.29</v>
      </c>
      <c r="G101" s="4"/>
      <c r="H101" s="7" t="str">
        <f t="shared" si="3"/>
        <v>OK</v>
      </c>
    </row>
    <row r="102" spans="1:8" ht="15">
      <c r="A102" s="5">
        <v>7</v>
      </c>
      <c r="B102" s="5">
        <v>11</v>
      </c>
      <c r="C102" s="5" t="s">
        <v>19</v>
      </c>
      <c r="D102" s="5" t="s">
        <v>19</v>
      </c>
      <c r="E102" s="25">
        <f t="shared" si="2"/>
        <v>1</v>
      </c>
      <c r="F102" s="27">
        <v>2.56</v>
      </c>
      <c r="G102" s="4"/>
      <c r="H102" s="7" t="str">
        <f t="shared" si="3"/>
        <v>OK</v>
      </c>
    </row>
    <row r="103" spans="1:8" ht="15">
      <c r="A103" s="5">
        <v>7</v>
      </c>
      <c r="B103" s="5">
        <v>12</v>
      </c>
      <c r="C103" s="5" t="s">
        <v>28</v>
      </c>
      <c r="D103" s="5" t="s">
        <v>28</v>
      </c>
      <c r="E103" s="25">
        <f t="shared" si="2"/>
        <v>1</v>
      </c>
      <c r="F103" s="27">
        <v>2.13</v>
      </c>
      <c r="G103" s="4"/>
      <c r="H103" s="7" t="str">
        <f t="shared" si="3"/>
        <v>OK</v>
      </c>
    </row>
    <row r="104" spans="1:8" ht="15">
      <c r="A104" s="5">
        <v>7</v>
      </c>
      <c r="B104" s="5">
        <v>13</v>
      </c>
      <c r="C104" s="5" t="s">
        <v>22</v>
      </c>
      <c r="D104" s="5" t="s">
        <v>22</v>
      </c>
      <c r="E104" s="25">
        <f t="shared" si="2"/>
        <v>1</v>
      </c>
      <c r="F104" s="27">
        <v>2.0699999999999998</v>
      </c>
      <c r="G104" s="4"/>
      <c r="H104" s="7" t="str">
        <f t="shared" si="3"/>
        <v>OK</v>
      </c>
    </row>
    <row r="105" spans="1:8" ht="15">
      <c r="A105" s="5">
        <v>7</v>
      </c>
      <c r="B105" s="5">
        <v>14</v>
      </c>
      <c r="C105" s="5" t="s">
        <v>12</v>
      </c>
      <c r="D105" s="5" t="s">
        <v>12</v>
      </c>
      <c r="E105" s="25">
        <f t="shared" si="2"/>
        <v>1</v>
      </c>
      <c r="F105" s="27">
        <v>3.29</v>
      </c>
      <c r="G105" s="4"/>
      <c r="H105" s="7" t="str">
        <f t="shared" si="3"/>
        <v>OK</v>
      </c>
    </row>
    <row r="106" spans="1:8" ht="15">
      <c r="A106" s="5">
        <v>7</v>
      </c>
      <c r="B106" s="5">
        <v>15</v>
      </c>
      <c r="C106" s="5" t="s">
        <v>33</v>
      </c>
      <c r="D106" s="5" t="s">
        <v>10</v>
      </c>
      <c r="E106" s="25">
        <f t="shared" si="2"/>
        <v>0</v>
      </c>
      <c r="F106" s="27">
        <v>2.48</v>
      </c>
      <c r="G106" s="4"/>
      <c r="H106" s="7" t="str">
        <f t="shared" si="3"/>
        <v>OK</v>
      </c>
    </row>
    <row r="107" spans="1:8" ht="15">
      <c r="A107" s="5">
        <v>8</v>
      </c>
      <c r="B107" s="5">
        <v>1</v>
      </c>
      <c r="C107" s="5" t="s">
        <v>25</v>
      </c>
      <c r="D107" s="5" t="s">
        <v>25</v>
      </c>
      <c r="E107" s="25">
        <f t="shared" si="2"/>
        <v>1</v>
      </c>
      <c r="F107" s="27">
        <v>1.79</v>
      </c>
      <c r="G107" s="4"/>
      <c r="H107" s="7" t="str">
        <f t="shared" si="3"/>
        <v>OK</v>
      </c>
    </row>
    <row r="108" spans="1:8" ht="15">
      <c r="A108" s="5">
        <v>8</v>
      </c>
      <c r="B108" s="5">
        <v>2</v>
      </c>
      <c r="C108" s="5" t="s">
        <v>15</v>
      </c>
      <c r="D108" s="5" t="s">
        <v>15</v>
      </c>
      <c r="E108" s="25">
        <f t="shared" si="2"/>
        <v>1</v>
      </c>
      <c r="F108" s="27">
        <v>2.15</v>
      </c>
      <c r="G108" s="4"/>
      <c r="H108" s="7" t="str">
        <f t="shared" si="3"/>
        <v>OK</v>
      </c>
    </row>
    <row r="109" spans="1:8" ht="15">
      <c r="A109" s="5">
        <v>8</v>
      </c>
      <c r="B109" s="5">
        <v>3</v>
      </c>
      <c r="C109" s="5" t="s">
        <v>31</v>
      </c>
      <c r="D109" s="5" t="s">
        <v>31</v>
      </c>
      <c r="E109" s="25">
        <f t="shared" si="2"/>
        <v>1</v>
      </c>
      <c r="F109" s="27">
        <v>3.1</v>
      </c>
      <c r="G109" s="4"/>
      <c r="H109" s="7" t="str">
        <f t="shared" si="3"/>
        <v>OK</v>
      </c>
    </row>
    <row r="110" spans="1:8" ht="15">
      <c r="A110" s="5">
        <v>8</v>
      </c>
      <c r="B110" s="5">
        <v>4</v>
      </c>
      <c r="C110" s="5" t="s">
        <v>18</v>
      </c>
      <c r="D110" s="5" t="s">
        <v>18</v>
      </c>
      <c r="E110" s="25">
        <f t="shared" si="2"/>
        <v>1</v>
      </c>
      <c r="F110" s="27">
        <v>2.86</v>
      </c>
      <c r="G110" s="4"/>
      <c r="H110" s="7" t="str">
        <f t="shared" si="3"/>
        <v>OK</v>
      </c>
    </row>
    <row r="111" spans="1:8" ht="15">
      <c r="A111" s="5">
        <v>8</v>
      </c>
      <c r="B111" s="5">
        <v>5</v>
      </c>
      <c r="C111" s="5" t="s">
        <v>17</v>
      </c>
      <c r="D111" s="5" t="s">
        <v>17</v>
      </c>
      <c r="E111" s="25">
        <f t="shared" si="2"/>
        <v>1</v>
      </c>
      <c r="F111" s="27">
        <v>3.43</v>
      </c>
      <c r="G111" s="4"/>
      <c r="H111" s="7" t="str">
        <f t="shared" si="3"/>
        <v>OK</v>
      </c>
    </row>
    <row r="112" spans="1:8" ht="15">
      <c r="A112" s="5">
        <v>8</v>
      </c>
      <c r="B112" s="5">
        <v>6</v>
      </c>
      <c r="C112" s="5" t="s">
        <v>14</v>
      </c>
      <c r="D112" s="5" t="s">
        <v>14</v>
      </c>
      <c r="E112" s="25">
        <f t="shared" si="2"/>
        <v>1</v>
      </c>
      <c r="F112" s="27">
        <v>3.31</v>
      </c>
      <c r="G112" s="4"/>
      <c r="H112" s="7" t="str">
        <f t="shared" si="3"/>
        <v>OK</v>
      </c>
    </row>
    <row r="113" spans="1:8" ht="15">
      <c r="A113" s="5">
        <v>8</v>
      </c>
      <c r="B113" s="5">
        <v>7</v>
      </c>
      <c r="C113" s="5" t="s">
        <v>16</v>
      </c>
      <c r="D113" s="5" t="s">
        <v>26</v>
      </c>
      <c r="E113" s="25">
        <f t="shared" si="2"/>
        <v>0</v>
      </c>
      <c r="F113" s="27">
        <v>2.36</v>
      </c>
      <c r="G113" s="4"/>
      <c r="H113" s="7" t="str">
        <f t="shared" si="3"/>
        <v>OK</v>
      </c>
    </row>
    <row r="114" spans="1:8" ht="15">
      <c r="A114" s="5">
        <v>8</v>
      </c>
      <c r="B114" s="5">
        <v>8</v>
      </c>
      <c r="C114" s="5" t="s">
        <v>22</v>
      </c>
      <c r="D114" s="5" t="s">
        <v>22</v>
      </c>
      <c r="E114" s="25">
        <f t="shared" si="2"/>
        <v>1</v>
      </c>
      <c r="F114" s="27">
        <v>2.68</v>
      </c>
      <c r="G114" s="4"/>
      <c r="H114" s="7" t="str">
        <f t="shared" si="3"/>
        <v>OK</v>
      </c>
    </row>
    <row r="115" spans="1:8" ht="15">
      <c r="A115" s="5">
        <v>8</v>
      </c>
      <c r="B115" s="5">
        <v>9</v>
      </c>
      <c r="C115" s="5" t="s">
        <v>27</v>
      </c>
      <c r="D115" s="5" t="s">
        <v>60</v>
      </c>
      <c r="E115" s="25">
        <f t="shared" si="2"/>
        <v>0</v>
      </c>
      <c r="F115" s="27">
        <v>3.32</v>
      </c>
      <c r="G115" s="4"/>
      <c r="H115" s="7" t="str">
        <f t="shared" si="3"/>
        <v>OK</v>
      </c>
    </row>
    <row r="116" spans="1:8" ht="15">
      <c r="A116" s="5">
        <v>8</v>
      </c>
      <c r="B116" s="5">
        <v>10</v>
      </c>
      <c r="C116" s="5" t="s">
        <v>21</v>
      </c>
      <c r="D116" s="5" t="s">
        <v>15</v>
      </c>
      <c r="E116" s="25">
        <f t="shared" si="2"/>
        <v>0</v>
      </c>
      <c r="F116" s="27">
        <v>2.2799999999999998</v>
      </c>
      <c r="G116" s="4"/>
      <c r="H116" s="7" t="str">
        <f t="shared" si="3"/>
        <v>OK</v>
      </c>
    </row>
    <row r="117" spans="1:8" ht="15">
      <c r="A117" s="5">
        <v>8</v>
      </c>
      <c r="B117" s="5">
        <v>11</v>
      </c>
      <c r="C117" s="5" t="s">
        <v>21</v>
      </c>
      <c r="D117" s="5" t="s">
        <v>21</v>
      </c>
      <c r="E117" s="25">
        <f t="shared" si="2"/>
        <v>1</v>
      </c>
      <c r="F117" s="27">
        <v>1.0900000000000001</v>
      </c>
      <c r="G117" s="4"/>
      <c r="H117" s="7" t="str">
        <f t="shared" si="3"/>
        <v>OK</v>
      </c>
    </row>
    <row r="118" spans="1:8" ht="15">
      <c r="A118" s="5">
        <v>8</v>
      </c>
      <c r="B118" s="5">
        <v>12</v>
      </c>
      <c r="C118" s="5" t="s">
        <v>14</v>
      </c>
      <c r="D118" s="5" t="s">
        <v>14</v>
      </c>
      <c r="E118" s="25">
        <f t="shared" si="2"/>
        <v>1</v>
      </c>
      <c r="F118" s="27">
        <v>1.87</v>
      </c>
      <c r="G118" s="4"/>
      <c r="H118" s="7" t="str">
        <f t="shared" si="3"/>
        <v>OK</v>
      </c>
    </row>
    <row r="119" spans="1:8" ht="15">
      <c r="A119" s="5">
        <v>8</v>
      </c>
      <c r="B119" s="5">
        <v>13</v>
      </c>
      <c r="C119" s="5" t="s">
        <v>19</v>
      </c>
      <c r="D119" s="5" t="s">
        <v>19</v>
      </c>
      <c r="E119" s="25">
        <f t="shared" si="2"/>
        <v>1</v>
      </c>
      <c r="F119" s="27">
        <v>3.62</v>
      </c>
      <c r="G119" s="4"/>
      <c r="H119" s="7" t="str">
        <f t="shared" si="3"/>
        <v>OK</v>
      </c>
    </row>
    <row r="120" spans="1:8" ht="15">
      <c r="A120" s="5">
        <v>8</v>
      </c>
      <c r="B120" s="5">
        <v>14</v>
      </c>
      <c r="C120" s="5" t="s">
        <v>24</v>
      </c>
      <c r="D120" s="5" t="s">
        <v>24</v>
      </c>
      <c r="E120" s="25">
        <f t="shared" si="2"/>
        <v>1</v>
      </c>
      <c r="F120" s="27">
        <v>3.41</v>
      </c>
      <c r="G120" s="4"/>
      <c r="H120" s="7" t="str">
        <f t="shared" si="3"/>
        <v>OK</v>
      </c>
    </row>
    <row r="121" spans="1:8" ht="15">
      <c r="A121" s="5">
        <v>8</v>
      </c>
      <c r="B121" s="5">
        <v>15</v>
      </c>
      <c r="C121" s="5" t="s">
        <v>27</v>
      </c>
      <c r="D121" s="5" t="s">
        <v>27</v>
      </c>
      <c r="E121" s="25">
        <f t="shared" si="2"/>
        <v>1</v>
      </c>
      <c r="F121" s="27">
        <v>1.27</v>
      </c>
      <c r="G121" s="4"/>
      <c r="H121" s="7" t="str">
        <f t="shared" si="3"/>
        <v>OK</v>
      </c>
    </row>
    <row r="122" spans="1:8" ht="15">
      <c r="A122" s="5">
        <v>9</v>
      </c>
      <c r="B122" s="5">
        <v>1</v>
      </c>
      <c r="C122" s="5" t="s">
        <v>10</v>
      </c>
      <c r="D122" s="5" t="s">
        <v>10</v>
      </c>
      <c r="E122" s="25">
        <f t="shared" si="2"/>
        <v>1</v>
      </c>
      <c r="F122" s="27">
        <v>1.31</v>
      </c>
      <c r="G122" s="4"/>
      <c r="H122" s="7" t="str">
        <f t="shared" si="3"/>
        <v>OK</v>
      </c>
    </row>
    <row r="123" spans="1:8" ht="15">
      <c r="A123" s="5">
        <v>9</v>
      </c>
      <c r="B123" s="5">
        <v>2</v>
      </c>
      <c r="C123" s="5" t="s">
        <v>23</v>
      </c>
      <c r="D123" s="5" t="s">
        <v>23</v>
      </c>
      <c r="E123" s="25">
        <f t="shared" si="2"/>
        <v>1</v>
      </c>
      <c r="F123" s="27">
        <v>2.1800000000000002</v>
      </c>
      <c r="G123" s="4"/>
      <c r="H123" s="7" t="str">
        <f t="shared" si="3"/>
        <v>OK</v>
      </c>
    </row>
    <row r="124" spans="1:8" ht="15">
      <c r="A124" s="5">
        <v>9</v>
      </c>
      <c r="B124" s="5">
        <v>3</v>
      </c>
      <c r="C124" s="5" t="s">
        <v>25</v>
      </c>
      <c r="D124" s="5" t="s">
        <v>25</v>
      </c>
      <c r="E124" s="25">
        <f t="shared" si="2"/>
        <v>1</v>
      </c>
      <c r="F124" s="27">
        <v>1.31</v>
      </c>
      <c r="G124" s="4"/>
      <c r="H124" s="7" t="str">
        <f t="shared" si="3"/>
        <v>OK</v>
      </c>
    </row>
    <row r="125" spans="1:8" ht="15">
      <c r="A125" s="5">
        <v>9</v>
      </c>
      <c r="B125" s="5">
        <v>4</v>
      </c>
      <c r="C125" s="5" t="s">
        <v>32</v>
      </c>
      <c r="D125" s="5" t="s">
        <v>32</v>
      </c>
      <c r="E125" s="25">
        <f t="shared" si="2"/>
        <v>1</v>
      </c>
      <c r="F125" s="27">
        <v>1.82</v>
      </c>
      <c r="G125" s="4"/>
      <c r="H125" s="7" t="str">
        <f t="shared" si="3"/>
        <v>OK</v>
      </c>
    </row>
    <row r="126" spans="1:8" ht="15">
      <c r="A126" s="5">
        <v>9</v>
      </c>
      <c r="B126" s="5">
        <v>5</v>
      </c>
      <c r="C126" s="5" t="s">
        <v>13</v>
      </c>
      <c r="D126" s="5" t="s">
        <v>13</v>
      </c>
      <c r="E126" s="25">
        <f t="shared" si="2"/>
        <v>1</v>
      </c>
      <c r="F126" s="27">
        <v>2.85</v>
      </c>
      <c r="G126" s="4"/>
      <c r="H126" s="7" t="str">
        <f t="shared" si="3"/>
        <v>OK</v>
      </c>
    </row>
    <row r="127" spans="1:8" ht="15">
      <c r="A127" s="5">
        <v>9</v>
      </c>
      <c r="B127" s="5">
        <v>6</v>
      </c>
      <c r="C127" s="5" t="s">
        <v>20</v>
      </c>
      <c r="D127" s="5" t="s">
        <v>10</v>
      </c>
      <c r="E127" s="25">
        <f t="shared" si="2"/>
        <v>0</v>
      </c>
      <c r="F127" s="27">
        <v>1</v>
      </c>
      <c r="G127" s="4"/>
      <c r="H127" s="7" t="str">
        <f t="shared" si="3"/>
        <v>OK</v>
      </c>
    </row>
    <row r="128" spans="1:8" ht="15">
      <c r="A128" s="5">
        <v>9</v>
      </c>
      <c r="B128" s="5">
        <v>7</v>
      </c>
      <c r="C128" s="5" t="s">
        <v>14</v>
      </c>
      <c r="D128" s="5" t="s">
        <v>14</v>
      </c>
      <c r="E128" s="25">
        <f t="shared" si="2"/>
        <v>1</v>
      </c>
      <c r="F128" s="27">
        <v>3.99</v>
      </c>
      <c r="G128" s="4"/>
      <c r="H128" s="7" t="str">
        <f t="shared" si="3"/>
        <v>OK</v>
      </c>
    </row>
    <row r="129" spans="1:8" ht="15">
      <c r="A129" s="5">
        <v>9</v>
      </c>
      <c r="B129" s="5">
        <v>8</v>
      </c>
      <c r="C129" s="5" t="s">
        <v>10</v>
      </c>
      <c r="D129" s="5" t="s">
        <v>10</v>
      </c>
      <c r="E129" s="25">
        <f t="shared" si="2"/>
        <v>1</v>
      </c>
      <c r="F129" s="27">
        <v>1.3</v>
      </c>
      <c r="G129" s="4"/>
      <c r="H129" s="7" t="str">
        <f t="shared" si="3"/>
        <v>OK</v>
      </c>
    </row>
    <row r="130" spans="1:8" ht="15">
      <c r="A130" s="5">
        <v>9</v>
      </c>
      <c r="B130" s="5">
        <v>9</v>
      </c>
      <c r="C130" s="5" t="s">
        <v>25</v>
      </c>
      <c r="D130" s="5" t="s">
        <v>25</v>
      </c>
      <c r="E130" s="25">
        <f t="shared" ref="E130:E193" si="4">IF(D130="","",IF(UPPER(TRIM(D130))=UPPER(TRIM(C130)),1,0))</f>
        <v>1</v>
      </c>
      <c r="F130" s="27">
        <v>3.45</v>
      </c>
      <c r="G130" s="4"/>
      <c r="H130" s="7" t="str">
        <f t="shared" si="3"/>
        <v>OK</v>
      </c>
    </row>
    <row r="131" spans="1:8" ht="15">
      <c r="A131" s="5">
        <v>9</v>
      </c>
      <c r="B131" s="5">
        <v>10</v>
      </c>
      <c r="C131" s="5" t="s">
        <v>34</v>
      </c>
      <c r="D131" s="5" t="s">
        <v>34</v>
      </c>
      <c r="E131" s="25">
        <f t="shared" si="4"/>
        <v>1</v>
      </c>
      <c r="F131" s="27">
        <v>2.02</v>
      </c>
      <c r="G131" s="4"/>
      <c r="H131" s="7" t="str">
        <f t="shared" ref="H131:H194" si="5">IF(AND(D131&lt;&gt;"",F131&lt;&gt;""),"OK","PENDIENTE")</f>
        <v>OK</v>
      </c>
    </row>
    <row r="132" spans="1:8" ht="15">
      <c r="A132" s="5">
        <v>9</v>
      </c>
      <c r="B132" s="5">
        <v>11</v>
      </c>
      <c r="C132" s="5" t="s">
        <v>1</v>
      </c>
      <c r="D132" s="5" t="s">
        <v>1</v>
      </c>
      <c r="E132" s="25">
        <f t="shared" si="4"/>
        <v>1</v>
      </c>
      <c r="F132" s="27">
        <v>2.84</v>
      </c>
      <c r="G132" s="4"/>
      <c r="H132" s="7" t="str">
        <f t="shared" si="5"/>
        <v>OK</v>
      </c>
    </row>
    <row r="133" spans="1:8" ht="15">
      <c r="A133" s="5">
        <v>9</v>
      </c>
      <c r="B133" s="5">
        <v>12</v>
      </c>
      <c r="C133" s="5" t="s">
        <v>1</v>
      </c>
      <c r="D133" s="5" t="s">
        <v>1</v>
      </c>
      <c r="E133" s="25">
        <f t="shared" si="4"/>
        <v>1</v>
      </c>
      <c r="F133" s="27">
        <v>3.35</v>
      </c>
      <c r="G133" s="4"/>
      <c r="H133" s="7" t="str">
        <f t="shared" si="5"/>
        <v>OK</v>
      </c>
    </row>
    <row r="134" spans="1:8" ht="15">
      <c r="A134" s="5">
        <v>9</v>
      </c>
      <c r="B134" s="5">
        <v>13</v>
      </c>
      <c r="C134" s="5" t="s">
        <v>21</v>
      </c>
      <c r="D134" s="5" t="s">
        <v>21</v>
      </c>
      <c r="E134" s="25">
        <f t="shared" si="4"/>
        <v>1</v>
      </c>
      <c r="F134" s="27">
        <v>1.75</v>
      </c>
      <c r="G134" s="4"/>
      <c r="H134" s="7" t="str">
        <f t="shared" si="5"/>
        <v>OK</v>
      </c>
    </row>
    <row r="135" spans="1:8" ht="15">
      <c r="A135" s="5">
        <v>9</v>
      </c>
      <c r="B135" s="5">
        <v>14</v>
      </c>
      <c r="C135" s="5" t="s">
        <v>29</v>
      </c>
      <c r="D135" s="5" t="s">
        <v>60</v>
      </c>
      <c r="E135" s="25">
        <f t="shared" si="4"/>
        <v>0</v>
      </c>
      <c r="F135" s="27">
        <v>3.81</v>
      </c>
      <c r="G135" s="4"/>
      <c r="H135" s="7" t="str">
        <f t="shared" si="5"/>
        <v>OK</v>
      </c>
    </row>
    <row r="136" spans="1:8" ht="15">
      <c r="A136" s="5">
        <v>9</v>
      </c>
      <c r="B136" s="5">
        <v>15</v>
      </c>
      <c r="C136" s="5" t="s">
        <v>20</v>
      </c>
      <c r="D136" s="5" t="s">
        <v>20</v>
      </c>
      <c r="E136" s="25">
        <f t="shared" si="4"/>
        <v>1</v>
      </c>
      <c r="F136" s="27">
        <v>1.1399999999999999</v>
      </c>
      <c r="G136" s="4"/>
      <c r="H136" s="7" t="str">
        <f t="shared" si="5"/>
        <v>OK</v>
      </c>
    </row>
    <row r="137" spans="1:8" ht="15">
      <c r="A137" s="5">
        <v>10</v>
      </c>
      <c r="B137" s="5">
        <v>1</v>
      </c>
      <c r="C137" s="5" t="s">
        <v>32</v>
      </c>
      <c r="D137" s="5" t="s">
        <v>32</v>
      </c>
      <c r="E137" s="25">
        <f t="shared" si="4"/>
        <v>1</v>
      </c>
      <c r="F137" s="27">
        <v>3.29</v>
      </c>
      <c r="G137" s="4"/>
      <c r="H137" s="7" t="str">
        <f t="shared" si="5"/>
        <v>OK</v>
      </c>
    </row>
    <row r="138" spans="1:8" ht="15">
      <c r="A138" s="5">
        <v>10</v>
      </c>
      <c r="B138" s="5">
        <v>2</v>
      </c>
      <c r="C138" s="5" t="s">
        <v>17</v>
      </c>
      <c r="D138" s="5" t="s">
        <v>17</v>
      </c>
      <c r="E138" s="25">
        <f t="shared" si="4"/>
        <v>1</v>
      </c>
      <c r="F138" s="27">
        <v>1.88</v>
      </c>
      <c r="G138" s="4"/>
      <c r="H138" s="7" t="str">
        <f t="shared" si="5"/>
        <v>OK</v>
      </c>
    </row>
    <row r="139" spans="1:8" ht="15">
      <c r="A139" s="5">
        <v>10</v>
      </c>
      <c r="B139" s="5">
        <v>3</v>
      </c>
      <c r="C139" s="5" t="s">
        <v>22</v>
      </c>
      <c r="D139" s="5" t="s">
        <v>22</v>
      </c>
      <c r="E139" s="25">
        <f t="shared" si="4"/>
        <v>1</v>
      </c>
      <c r="F139" s="27">
        <v>3.68</v>
      </c>
      <c r="G139" s="4"/>
      <c r="H139" s="7" t="str">
        <f t="shared" si="5"/>
        <v>OK</v>
      </c>
    </row>
    <row r="140" spans="1:8" ht="15">
      <c r="A140" s="5">
        <v>10</v>
      </c>
      <c r="B140" s="5">
        <v>4</v>
      </c>
      <c r="C140" s="5" t="s">
        <v>30</v>
      </c>
      <c r="D140" s="5" t="s">
        <v>60</v>
      </c>
      <c r="E140" s="25">
        <f t="shared" si="4"/>
        <v>0</v>
      </c>
      <c r="F140" s="27">
        <v>2.46</v>
      </c>
      <c r="G140" s="4"/>
      <c r="H140" s="7" t="str">
        <f t="shared" si="5"/>
        <v>OK</v>
      </c>
    </row>
    <row r="141" spans="1:8" ht="15">
      <c r="A141" s="5">
        <v>10</v>
      </c>
      <c r="B141" s="5">
        <v>5</v>
      </c>
      <c r="C141" s="5" t="s">
        <v>28</v>
      </c>
      <c r="D141" s="5" t="s">
        <v>28</v>
      </c>
      <c r="E141" s="25">
        <f t="shared" si="4"/>
        <v>1</v>
      </c>
      <c r="F141" s="27">
        <v>1.72</v>
      </c>
      <c r="G141" s="4"/>
      <c r="H141" s="7" t="str">
        <f t="shared" si="5"/>
        <v>OK</v>
      </c>
    </row>
    <row r="142" spans="1:8" ht="15">
      <c r="A142" s="5">
        <v>10</v>
      </c>
      <c r="B142" s="5">
        <v>6</v>
      </c>
      <c r="C142" s="5" t="s">
        <v>19</v>
      </c>
      <c r="D142" s="5" t="s">
        <v>19</v>
      </c>
      <c r="E142" s="25">
        <f t="shared" si="4"/>
        <v>1</v>
      </c>
      <c r="F142" s="27">
        <v>3.96</v>
      </c>
      <c r="G142" s="4"/>
      <c r="H142" s="7" t="str">
        <f t="shared" si="5"/>
        <v>OK</v>
      </c>
    </row>
    <row r="143" spans="1:8" ht="15">
      <c r="A143" s="5">
        <v>10</v>
      </c>
      <c r="B143" s="5">
        <v>7</v>
      </c>
      <c r="C143" s="5" t="s">
        <v>31</v>
      </c>
      <c r="D143" s="5" t="s">
        <v>30</v>
      </c>
      <c r="E143" s="25">
        <f t="shared" si="4"/>
        <v>0</v>
      </c>
      <c r="F143" s="27">
        <v>2.79</v>
      </c>
      <c r="G143" s="4"/>
      <c r="H143" s="7" t="str">
        <f t="shared" si="5"/>
        <v>OK</v>
      </c>
    </row>
    <row r="144" spans="1:8" ht="15">
      <c r="A144" s="5">
        <v>10</v>
      </c>
      <c r="B144" s="5">
        <v>8</v>
      </c>
      <c r="C144" s="5" t="s">
        <v>12</v>
      </c>
      <c r="D144" s="5" t="s">
        <v>12</v>
      </c>
      <c r="E144" s="25">
        <f t="shared" si="4"/>
        <v>1</v>
      </c>
      <c r="F144" s="27">
        <v>1.4</v>
      </c>
      <c r="G144" s="4"/>
      <c r="H144" s="7" t="str">
        <f t="shared" si="5"/>
        <v>OK</v>
      </c>
    </row>
    <row r="145" spans="1:8" ht="15">
      <c r="A145" s="5">
        <v>10</v>
      </c>
      <c r="B145" s="5">
        <v>9</v>
      </c>
      <c r="C145" s="5" t="s">
        <v>18</v>
      </c>
      <c r="D145" s="5" t="s">
        <v>18</v>
      </c>
      <c r="E145" s="25">
        <f t="shared" si="4"/>
        <v>1</v>
      </c>
      <c r="F145" s="27">
        <v>3.22</v>
      </c>
      <c r="G145" s="4"/>
      <c r="H145" s="7" t="str">
        <f t="shared" si="5"/>
        <v>OK</v>
      </c>
    </row>
    <row r="146" spans="1:8" ht="15">
      <c r="A146" s="5">
        <v>10</v>
      </c>
      <c r="B146" s="5">
        <v>10</v>
      </c>
      <c r="C146" s="5" t="s">
        <v>25</v>
      </c>
      <c r="D146" s="5" t="s">
        <v>25</v>
      </c>
      <c r="E146" s="25">
        <f t="shared" si="4"/>
        <v>1</v>
      </c>
      <c r="F146" s="27">
        <v>3.85</v>
      </c>
      <c r="G146" s="4"/>
      <c r="H146" s="7" t="str">
        <f t="shared" si="5"/>
        <v>OK</v>
      </c>
    </row>
    <row r="147" spans="1:8" ht="15">
      <c r="A147" s="5">
        <v>10</v>
      </c>
      <c r="B147" s="5">
        <v>11</v>
      </c>
      <c r="C147" s="5" t="s">
        <v>21</v>
      </c>
      <c r="D147" s="5" t="s">
        <v>21</v>
      </c>
      <c r="E147" s="25">
        <f t="shared" si="4"/>
        <v>1</v>
      </c>
      <c r="F147" s="27">
        <v>2.48</v>
      </c>
      <c r="G147" s="4"/>
      <c r="H147" s="7" t="str">
        <f t="shared" si="5"/>
        <v>OK</v>
      </c>
    </row>
    <row r="148" spans="1:8" ht="15">
      <c r="A148" s="5">
        <v>10</v>
      </c>
      <c r="B148" s="5">
        <v>12</v>
      </c>
      <c r="C148" s="5" t="s">
        <v>14</v>
      </c>
      <c r="D148" s="5" t="s">
        <v>14</v>
      </c>
      <c r="E148" s="25">
        <f t="shared" si="4"/>
        <v>1</v>
      </c>
      <c r="F148" s="27">
        <v>1.1599999999999999</v>
      </c>
      <c r="G148" s="4"/>
      <c r="H148" s="7" t="str">
        <f t="shared" si="5"/>
        <v>OK</v>
      </c>
    </row>
    <row r="149" spans="1:8" ht="15">
      <c r="A149" s="5">
        <v>10</v>
      </c>
      <c r="B149" s="5">
        <v>13</v>
      </c>
      <c r="C149" s="5" t="s">
        <v>31</v>
      </c>
      <c r="D149" s="5" t="s">
        <v>60</v>
      </c>
      <c r="E149" s="25">
        <f t="shared" si="4"/>
        <v>0</v>
      </c>
      <c r="F149" s="27">
        <v>2.52</v>
      </c>
      <c r="G149" s="4"/>
      <c r="H149" s="7" t="str">
        <f t="shared" si="5"/>
        <v>OK</v>
      </c>
    </row>
    <row r="150" spans="1:8" ht="15">
      <c r="A150" s="5">
        <v>10</v>
      </c>
      <c r="B150" s="5">
        <v>14</v>
      </c>
      <c r="C150" s="5" t="s">
        <v>30</v>
      </c>
      <c r="D150" s="5" t="s">
        <v>30</v>
      </c>
      <c r="E150" s="25">
        <f t="shared" si="4"/>
        <v>1</v>
      </c>
      <c r="F150" s="27">
        <v>1.45</v>
      </c>
      <c r="G150" s="4"/>
      <c r="H150" s="7" t="str">
        <f t="shared" si="5"/>
        <v>OK</v>
      </c>
    </row>
    <row r="151" spans="1:8" ht="15">
      <c r="A151" s="5">
        <v>10</v>
      </c>
      <c r="B151" s="5">
        <v>15</v>
      </c>
      <c r="C151" s="5" t="s">
        <v>19</v>
      </c>
      <c r="D151" s="5" t="s">
        <v>19</v>
      </c>
      <c r="E151" s="25">
        <f t="shared" si="4"/>
        <v>1</v>
      </c>
      <c r="F151" s="27">
        <v>2.0099999999999998</v>
      </c>
      <c r="G151" s="4"/>
      <c r="H151" s="7" t="str">
        <f t="shared" si="5"/>
        <v>OK</v>
      </c>
    </row>
    <row r="152" spans="1:8" ht="15">
      <c r="A152" s="5">
        <v>11</v>
      </c>
      <c r="B152" s="5">
        <v>1</v>
      </c>
      <c r="C152" s="5" t="s">
        <v>13</v>
      </c>
      <c r="D152" s="5" t="s">
        <v>13</v>
      </c>
      <c r="E152" s="25">
        <f t="shared" si="4"/>
        <v>1</v>
      </c>
      <c r="F152" s="27">
        <v>1.1599999999999999</v>
      </c>
      <c r="G152" s="4"/>
      <c r="H152" s="7" t="str">
        <f t="shared" si="5"/>
        <v>OK</v>
      </c>
    </row>
    <row r="153" spans="1:8" ht="15">
      <c r="A153" s="5">
        <v>11</v>
      </c>
      <c r="B153" s="5">
        <v>2</v>
      </c>
      <c r="C153" s="5" t="s">
        <v>18</v>
      </c>
      <c r="D153" s="5" t="s">
        <v>18</v>
      </c>
      <c r="E153" s="25">
        <f t="shared" si="4"/>
        <v>1</v>
      </c>
      <c r="F153" s="27">
        <v>3.37</v>
      </c>
      <c r="G153" s="4"/>
      <c r="H153" s="7" t="str">
        <f t="shared" si="5"/>
        <v>OK</v>
      </c>
    </row>
    <row r="154" spans="1:8" ht="15">
      <c r="A154" s="5">
        <v>11</v>
      </c>
      <c r="B154" s="5">
        <v>3</v>
      </c>
      <c r="C154" s="5" t="s">
        <v>34</v>
      </c>
      <c r="D154" s="5" t="s">
        <v>34</v>
      </c>
      <c r="E154" s="25">
        <f t="shared" si="4"/>
        <v>1</v>
      </c>
      <c r="F154" s="27">
        <v>3.01</v>
      </c>
      <c r="G154" s="4"/>
      <c r="H154" s="7" t="str">
        <f t="shared" si="5"/>
        <v>OK</v>
      </c>
    </row>
    <row r="155" spans="1:8" ht="15">
      <c r="A155" s="5">
        <v>11</v>
      </c>
      <c r="B155" s="5">
        <v>4</v>
      </c>
      <c r="C155" s="5" t="s">
        <v>15</v>
      </c>
      <c r="D155" s="5" t="s">
        <v>15</v>
      </c>
      <c r="E155" s="25">
        <f t="shared" si="4"/>
        <v>1</v>
      </c>
      <c r="F155" s="27">
        <v>2.99</v>
      </c>
      <c r="G155" s="4"/>
      <c r="H155" s="7" t="str">
        <f t="shared" si="5"/>
        <v>OK</v>
      </c>
    </row>
    <row r="156" spans="1:8" ht="15">
      <c r="A156" s="5">
        <v>11</v>
      </c>
      <c r="B156" s="5">
        <v>5</v>
      </c>
      <c r="C156" s="5" t="s">
        <v>19</v>
      </c>
      <c r="D156" s="5" t="s">
        <v>19</v>
      </c>
      <c r="E156" s="25">
        <f t="shared" si="4"/>
        <v>1</v>
      </c>
      <c r="F156" s="27">
        <v>2.98</v>
      </c>
      <c r="G156" s="4"/>
      <c r="H156" s="7" t="str">
        <f t="shared" si="5"/>
        <v>OK</v>
      </c>
    </row>
    <row r="157" spans="1:8" ht="15">
      <c r="A157" s="5">
        <v>11</v>
      </c>
      <c r="B157" s="5">
        <v>6</v>
      </c>
      <c r="C157" s="5" t="s">
        <v>12</v>
      </c>
      <c r="D157" s="5" t="s">
        <v>12</v>
      </c>
      <c r="E157" s="25">
        <f t="shared" si="4"/>
        <v>1</v>
      </c>
      <c r="F157" s="27">
        <v>1.98</v>
      </c>
      <c r="G157" s="4"/>
      <c r="H157" s="7" t="str">
        <f t="shared" si="5"/>
        <v>OK</v>
      </c>
    </row>
    <row r="158" spans="1:8" ht="15">
      <c r="A158" s="5">
        <v>11</v>
      </c>
      <c r="B158" s="5">
        <v>7</v>
      </c>
      <c r="C158" s="5" t="s">
        <v>25</v>
      </c>
      <c r="D158" s="5" t="s">
        <v>25</v>
      </c>
      <c r="E158" s="25">
        <f t="shared" si="4"/>
        <v>1</v>
      </c>
      <c r="F158" s="27">
        <v>1.33</v>
      </c>
      <c r="G158" s="4"/>
      <c r="H158" s="7" t="str">
        <f t="shared" si="5"/>
        <v>OK</v>
      </c>
    </row>
    <row r="159" spans="1:8" ht="15">
      <c r="A159" s="5">
        <v>11</v>
      </c>
      <c r="B159" s="5">
        <v>8</v>
      </c>
      <c r="C159" s="5" t="s">
        <v>17</v>
      </c>
      <c r="D159" s="5" t="s">
        <v>17</v>
      </c>
      <c r="E159" s="25">
        <f t="shared" si="4"/>
        <v>1</v>
      </c>
      <c r="F159" s="27">
        <v>2.99</v>
      </c>
      <c r="G159" s="4"/>
      <c r="H159" s="7" t="str">
        <f t="shared" si="5"/>
        <v>OK</v>
      </c>
    </row>
    <row r="160" spans="1:8" ht="15">
      <c r="A160" s="5">
        <v>11</v>
      </c>
      <c r="B160" s="5">
        <v>9</v>
      </c>
      <c r="C160" s="5" t="s">
        <v>30</v>
      </c>
      <c r="D160" s="5" t="s">
        <v>30</v>
      </c>
      <c r="E160" s="25">
        <f t="shared" si="4"/>
        <v>1</v>
      </c>
      <c r="F160" s="27">
        <v>2.3199999999999998</v>
      </c>
      <c r="G160" s="4"/>
      <c r="H160" s="7" t="str">
        <f t="shared" si="5"/>
        <v>OK</v>
      </c>
    </row>
    <row r="161" spans="1:8" ht="15">
      <c r="A161" s="5">
        <v>11</v>
      </c>
      <c r="B161" s="5">
        <v>10</v>
      </c>
      <c r="C161" s="5" t="s">
        <v>28</v>
      </c>
      <c r="D161" s="5" t="s">
        <v>28</v>
      </c>
      <c r="E161" s="25">
        <f t="shared" si="4"/>
        <v>1</v>
      </c>
      <c r="F161" s="27">
        <v>1.85</v>
      </c>
      <c r="G161" s="4"/>
      <c r="H161" s="7" t="str">
        <f t="shared" si="5"/>
        <v>OK</v>
      </c>
    </row>
    <row r="162" spans="1:8" ht="15">
      <c r="A162" s="5">
        <v>11</v>
      </c>
      <c r="B162" s="5">
        <v>11</v>
      </c>
      <c r="C162" s="5" t="s">
        <v>18</v>
      </c>
      <c r="D162" s="5" t="s">
        <v>18</v>
      </c>
      <c r="E162" s="25">
        <f t="shared" si="4"/>
        <v>1</v>
      </c>
      <c r="F162" s="27">
        <v>3.56</v>
      </c>
      <c r="G162" s="4"/>
      <c r="H162" s="7" t="str">
        <f t="shared" si="5"/>
        <v>OK</v>
      </c>
    </row>
    <row r="163" spans="1:8" ht="15">
      <c r="A163" s="5">
        <v>11</v>
      </c>
      <c r="B163" s="5">
        <v>12</v>
      </c>
      <c r="C163" s="5" t="s">
        <v>15</v>
      </c>
      <c r="D163" s="5" t="s">
        <v>15</v>
      </c>
      <c r="E163" s="25">
        <f t="shared" si="4"/>
        <v>1</v>
      </c>
      <c r="F163" s="27">
        <v>2.4</v>
      </c>
      <c r="G163" s="4"/>
      <c r="H163" s="7" t="str">
        <f t="shared" si="5"/>
        <v>OK</v>
      </c>
    </row>
    <row r="164" spans="1:8" ht="15">
      <c r="A164" s="5">
        <v>11</v>
      </c>
      <c r="B164" s="5">
        <v>13</v>
      </c>
      <c r="C164" s="5" t="s">
        <v>34</v>
      </c>
      <c r="D164" s="5" t="s">
        <v>34</v>
      </c>
      <c r="E164" s="25">
        <f t="shared" si="4"/>
        <v>1</v>
      </c>
      <c r="F164" s="27">
        <v>2.36</v>
      </c>
      <c r="G164" s="4"/>
      <c r="H164" s="7" t="str">
        <f t="shared" si="5"/>
        <v>OK</v>
      </c>
    </row>
    <row r="165" spans="1:8" ht="15">
      <c r="A165" s="5">
        <v>11</v>
      </c>
      <c r="B165" s="5">
        <v>14</v>
      </c>
      <c r="C165" s="5" t="s">
        <v>16</v>
      </c>
      <c r="D165" s="5" t="s">
        <v>16</v>
      </c>
      <c r="E165" s="25">
        <f t="shared" si="4"/>
        <v>1</v>
      </c>
      <c r="F165" s="27">
        <v>1.2</v>
      </c>
      <c r="G165" s="4"/>
      <c r="H165" s="7" t="str">
        <f t="shared" si="5"/>
        <v>OK</v>
      </c>
    </row>
    <row r="166" spans="1:8" ht="15">
      <c r="A166" s="5">
        <v>11</v>
      </c>
      <c r="B166" s="5">
        <v>15</v>
      </c>
      <c r="C166" s="5" t="s">
        <v>17</v>
      </c>
      <c r="D166" s="5" t="s">
        <v>17</v>
      </c>
      <c r="E166" s="25">
        <f t="shared" si="4"/>
        <v>1</v>
      </c>
      <c r="F166" s="27">
        <v>3.59</v>
      </c>
      <c r="G166" s="4"/>
      <c r="H166" s="7" t="str">
        <f t="shared" si="5"/>
        <v>OK</v>
      </c>
    </row>
    <row r="167" spans="1:8" ht="15">
      <c r="A167" s="5">
        <v>12</v>
      </c>
      <c r="B167" s="5">
        <v>1</v>
      </c>
      <c r="C167" s="5" t="s">
        <v>11</v>
      </c>
      <c r="D167" s="5" t="s">
        <v>11</v>
      </c>
      <c r="E167" s="25">
        <f t="shared" si="4"/>
        <v>1</v>
      </c>
      <c r="F167" s="27">
        <v>2.56</v>
      </c>
      <c r="G167" s="4"/>
      <c r="H167" s="7" t="str">
        <f t="shared" si="5"/>
        <v>OK</v>
      </c>
    </row>
    <row r="168" spans="1:8" ht="15">
      <c r="A168" s="5">
        <v>12</v>
      </c>
      <c r="B168" s="5">
        <v>2</v>
      </c>
      <c r="C168" s="5" t="s">
        <v>32</v>
      </c>
      <c r="D168" s="5" t="s">
        <v>32</v>
      </c>
      <c r="E168" s="25">
        <f t="shared" si="4"/>
        <v>1</v>
      </c>
      <c r="F168" s="27">
        <v>1.76</v>
      </c>
      <c r="G168" s="4"/>
      <c r="H168" s="7" t="str">
        <f t="shared" si="5"/>
        <v>OK</v>
      </c>
    </row>
    <row r="169" spans="1:8" ht="15">
      <c r="A169" s="5">
        <v>12</v>
      </c>
      <c r="B169" s="5">
        <v>3</v>
      </c>
      <c r="C169" s="5" t="s">
        <v>15</v>
      </c>
      <c r="D169" s="5" t="s">
        <v>15</v>
      </c>
      <c r="E169" s="25">
        <f t="shared" si="4"/>
        <v>1</v>
      </c>
      <c r="F169" s="27">
        <v>1.65</v>
      </c>
      <c r="G169" s="4"/>
      <c r="H169" s="7" t="str">
        <f t="shared" si="5"/>
        <v>OK</v>
      </c>
    </row>
    <row r="170" spans="1:8" ht="15">
      <c r="A170" s="5">
        <v>12</v>
      </c>
      <c r="B170" s="5">
        <v>4</v>
      </c>
      <c r="C170" s="5" t="s">
        <v>22</v>
      </c>
      <c r="D170" s="5" t="s">
        <v>22</v>
      </c>
      <c r="E170" s="25">
        <f t="shared" si="4"/>
        <v>1</v>
      </c>
      <c r="F170" s="27">
        <v>3.68</v>
      </c>
      <c r="G170" s="4"/>
      <c r="H170" s="7" t="str">
        <f t="shared" si="5"/>
        <v>OK</v>
      </c>
    </row>
    <row r="171" spans="1:8" ht="15">
      <c r="A171" s="5">
        <v>12</v>
      </c>
      <c r="B171" s="5">
        <v>5</v>
      </c>
      <c r="C171" s="5" t="s">
        <v>16</v>
      </c>
      <c r="D171" s="5" t="s">
        <v>16</v>
      </c>
      <c r="E171" s="25">
        <f t="shared" si="4"/>
        <v>1</v>
      </c>
      <c r="F171" s="27">
        <v>1.65</v>
      </c>
      <c r="G171" s="4"/>
      <c r="H171" s="7" t="str">
        <f t="shared" si="5"/>
        <v>OK</v>
      </c>
    </row>
    <row r="172" spans="1:8" ht="15">
      <c r="A172" s="5">
        <v>12</v>
      </c>
      <c r="B172" s="5">
        <v>6</v>
      </c>
      <c r="C172" s="5" t="s">
        <v>33</v>
      </c>
      <c r="D172" s="5" t="s">
        <v>33</v>
      </c>
      <c r="E172" s="25">
        <f t="shared" si="4"/>
        <v>1</v>
      </c>
      <c r="F172" s="27">
        <v>1.02</v>
      </c>
      <c r="G172" s="4"/>
      <c r="H172" s="7" t="str">
        <f t="shared" si="5"/>
        <v>OK</v>
      </c>
    </row>
    <row r="173" spans="1:8" ht="15">
      <c r="A173" s="5">
        <v>12</v>
      </c>
      <c r="B173" s="5">
        <v>7</v>
      </c>
      <c r="C173" s="5" t="s">
        <v>19</v>
      </c>
      <c r="D173" s="5" t="s">
        <v>19</v>
      </c>
      <c r="E173" s="25">
        <f t="shared" si="4"/>
        <v>1</v>
      </c>
      <c r="F173" s="27">
        <v>3.55</v>
      </c>
      <c r="G173" s="4"/>
      <c r="H173" s="7" t="str">
        <f t="shared" si="5"/>
        <v>OK</v>
      </c>
    </row>
    <row r="174" spans="1:8" ht="15">
      <c r="A174" s="5">
        <v>12</v>
      </c>
      <c r="B174" s="5">
        <v>8</v>
      </c>
      <c r="C174" s="5" t="s">
        <v>31</v>
      </c>
      <c r="D174" s="5" t="s">
        <v>31</v>
      </c>
      <c r="E174" s="25">
        <f t="shared" si="4"/>
        <v>1</v>
      </c>
      <c r="F174" s="27">
        <v>3.31</v>
      </c>
      <c r="G174" s="4"/>
      <c r="H174" s="7" t="str">
        <f t="shared" si="5"/>
        <v>OK</v>
      </c>
    </row>
    <row r="175" spans="1:8" ht="15">
      <c r="A175" s="5">
        <v>12</v>
      </c>
      <c r="B175" s="5">
        <v>9</v>
      </c>
      <c r="C175" s="5" t="s">
        <v>27</v>
      </c>
      <c r="D175" s="5" t="s">
        <v>32</v>
      </c>
      <c r="E175" s="25">
        <f t="shared" si="4"/>
        <v>0</v>
      </c>
      <c r="F175" s="27">
        <v>2.41</v>
      </c>
      <c r="G175" s="4"/>
      <c r="H175" s="7" t="str">
        <f t="shared" si="5"/>
        <v>OK</v>
      </c>
    </row>
    <row r="176" spans="1:8" ht="15">
      <c r="A176" s="5">
        <v>12</v>
      </c>
      <c r="B176" s="5">
        <v>10</v>
      </c>
      <c r="C176" s="5" t="s">
        <v>15</v>
      </c>
      <c r="D176" s="5" t="s">
        <v>15</v>
      </c>
      <c r="E176" s="25">
        <f t="shared" si="4"/>
        <v>1</v>
      </c>
      <c r="F176" s="27">
        <v>2.57</v>
      </c>
      <c r="G176" s="4"/>
      <c r="H176" s="7" t="str">
        <f t="shared" si="5"/>
        <v>OK</v>
      </c>
    </row>
    <row r="177" spans="1:8" ht="15">
      <c r="A177" s="5">
        <v>12</v>
      </c>
      <c r="B177" s="5">
        <v>11</v>
      </c>
      <c r="C177" s="5" t="s">
        <v>13</v>
      </c>
      <c r="D177" s="5" t="s">
        <v>13</v>
      </c>
      <c r="E177" s="25">
        <f t="shared" si="4"/>
        <v>1</v>
      </c>
      <c r="F177" s="27">
        <v>2.3199999999999998</v>
      </c>
      <c r="G177" s="4"/>
      <c r="H177" s="7" t="str">
        <f t="shared" si="5"/>
        <v>OK</v>
      </c>
    </row>
    <row r="178" spans="1:8" ht="15">
      <c r="A178" s="5">
        <v>12</v>
      </c>
      <c r="B178" s="5">
        <v>12</v>
      </c>
      <c r="C178" s="5" t="s">
        <v>22</v>
      </c>
      <c r="D178" s="5" t="s">
        <v>22</v>
      </c>
      <c r="E178" s="25">
        <f t="shared" si="4"/>
        <v>1</v>
      </c>
      <c r="F178" s="27">
        <v>1.73</v>
      </c>
      <c r="G178" s="4"/>
      <c r="H178" s="7" t="str">
        <f t="shared" si="5"/>
        <v>OK</v>
      </c>
    </row>
    <row r="179" spans="1:8" ht="15">
      <c r="A179" s="5">
        <v>12</v>
      </c>
      <c r="B179" s="5">
        <v>13</v>
      </c>
      <c r="C179" s="5" t="s">
        <v>15</v>
      </c>
      <c r="D179" s="5" t="s">
        <v>15</v>
      </c>
      <c r="E179" s="25">
        <f t="shared" si="4"/>
        <v>1</v>
      </c>
      <c r="F179" s="27">
        <v>3.75</v>
      </c>
      <c r="G179" s="4"/>
      <c r="H179" s="7" t="str">
        <f t="shared" si="5"/>
        <v>OK</v>
      </c>
    </row>
    <row r="180" spans="1:8" ht="15">
      <c r="A180" s="5">
        <v>12</v>
      </c>
      <c r="B180" s="5">
        <v>14</v>
      </c>
      <c r="C180" s="5" t="s">
        <v>10</v>
      </c>
      <c r="D180" s="5" t="s">
        <v>10</v>
      </c>
      <c r="E180" s="25">
        <f t="shared" si="4"/>
        <v>1</v>
      </c>
      <c r="F180" s="27">
        <v>3.03</v>
      </c>
      <c r="G180" s="4"/>
      <c r="H180" s="7" t="str">
        <f t="shared" si="5"/>
        <v>OK</v>
      </c>
    </row>
    <row r="181" spans="1:8" ht="15">
      <c r="A181" s="5">
        <v>12</v>
      </c>
      <c r="B181" s="5">
        <v>15</v>
      </c>
      <c r="C181" s="5" t="s">
        <v>30</v>
      </c>
      <c r="D181" s="5" t="s">
        <v>30</v>
      </c>
      <c r="E181" s="25">
        <f t="shared" si="4"/>
        <v>1</v>
      </c>
      <c r="F181" s="27">
        <v>1.72</v>
      </c>
      <c r="G181" s="4"/>
      <c r="H181" s="7" t="str">
        <f t="shared" si="5"/>
        <v>OK</v>
      </c>
    </row>
    <row r="182" spans="1:8" ht="15">
      <c r="A182" s="5">
        <v>13</v>
      </c>
      <c r="B182" s="5">
        <v>1</v>
      </c>
      <c r="C182" s="5" t="s">
        <v>11</v>
      </c>
      <c r="D182" s="5" t="s">
        <v>11</v>
      </c>
      <c r="E182" s="25">
        <f t="shared" si="4"/>
        <v>1</v>
      </c>
      <c r="F182" s="27">
        <v>1.86</v>
      </c>
      <c r="G182" s="4"/>
      <c r="H182" s="7" t="str">
        <f t="shared" si="5"/>
        <v>OK</v>
      </c>
    </row>
    <row r="183" spans="1:8" ht="15">
      <c r="A183" s="5">
        <v>13</v>
      </c>
      <c r="B183" s="5">
        <v>2</v>
      </c>
      <c r="C183" s="5" t="s">
        <v>14</v>
      </c>
      <c r="D183" s="5" t="s">
        <v>14</v>
      </c>
      <c r="E183" s="25">
        <f t="shared" si="4"/>
        <v>1</v>
      </c>
      <c r="F183" s="27">
        <v>3.39</v>
      </c>
      <c r="G183" s="4"/>
      <c r="H183" s="7" t="str">
        <f t="shared" si="5"/>
        <v>OK</v>
      </c>
    </row>
    <row r="184" spans="1:8" ht="15">
      <c r="A184" s="5">
        <v>13</v>
      </c>
      <c r="B184" s="5">
        <v>3</v>
      </c>
      <c r="C184" s="5" t="s">
        <v>9</v>
      </c>
      <c r="D184" s="5" t="s">
        <v>13</v>
      </c>
      <c r="E184" s="25">
        <f t="shared" si="4"/>
        <v>0</v>
      </c>
      <c r="F184" s="27">
        <v>2.68</v>
      </c>
      <c r="G184" s="4"/>
      <c r="H184" s="7" t="str">
        <f t="shared" si="5"/>
        <v>OK</v>
      </c>
    </row>
    <row r="185" spans="1:8" ht="15">
      <c r="A185" s="5">
        <v>13</v>
      </c>
      <c r="B185" s="5">
        <v>4</v>
      </c>
      <c r="C185" s="5" t="s">
        <v>28</v>
      </c>
      <c r="D185" s="5" t="s">
        <v>28</v>
      </c>
      <c r="E185" s="25">
        <f t="shared" si="4"/>
        <v>1</v>
      </c>
      <c r="F185" s="27">
        <v>3.41</v>
      </c>
      <c r="G185" s="4"/>
      <c r="H185" s="7" t="str">
        <f t="shared" si="5"/>
        <v>OK</v>
      </c>
    </row>
    <row r="186" spans="1:8" ht="15">
      <c r="A186" s="5">
        <v>13</v>
      </c>
      <c r="B186" s="5">
        <v>5</v>
      </c>
      <c r="C186" s="5" t="s">
        <v>27</v>
      </c>
      <c r="D186" s="5" t="s">
        <v>32</v>
      </c>
      <c r="E186" s="25">
        <f t="shared" si="4"/>
        <v>0</v>
      </c>
      <c r="F186" s="27">
        <v>1.53</v>
      </c>
      <c r="G186" s="4"/>
      <c r="H186" s="7" t="str">
        <f t="shared" si="5"/>
        <v>OK</v>
      </c>
    </row>
    <row r="187" spans="1:8" ht="15">
      <c r="A187" s="5">
        <v>13</v>
      </c>
      <c r="B187" s="5">
        <v>6</v>
      </c>
      <c r="C187" s="5" t="s">
        <v>13</v>
      </c>
      <c r="D187" s="5" t="s">
        <v>13</v>
      </c>
      <c r="E187" s="25">
        <f t="shared" si="4"/>
        <v>1</v>
      </c>
      <c r="F187" s="27">
        <v>1.62</v>
      </c>
      <c r="G187" s="4"/>
      <c r="H187" s="7" t="str">
        <f t="shared" si="5"/>
        <v>OK</v>
      </c>
    </row>
    <row r="188" spans="1:8" ht="15">
      <c r="A188" s="5">
        <v>13</v>
      </c>
      <c r="B188" s="5">
        <v>7</v>
      </c>
      <c r="C188" s="5" t="s">
        <v>33</v>
      </c>
      <c r="D188" s="5" t="s">
        <v>33</v>
      </c>
      <c r="E188" s="25">
        <f t="shared" si="4"/>
        <v>1</v>
      </c>
      <c r="F188" s="27">
        <v>2.81</v>
      </c>
      <c r="G188" s="4"/>
      <c r="H188" s="7" t="str">
        <f t="shared" si="5"/>
        <v>OK</v>
      </c>
    </row>
    <row r="189" spans="1:8" ht="15">
      <c r="A189" s="5">
        <v>13</v>
      </c>
      <c r="B189" s="5">
        <v>8</v>
      </c>
      <c r="C189" s="5" t="s">
        <v>27</v>
      </c>
      <c r="D189" s="5" t="s">
        <v>27</v>
      </c>
      <c r="E189" s="25">
        <f t="shared" si="4"/>
        <v>1</v>
      </c>
      <c r="F189" s="27">
        <v>2.4700000000000002</v>
      </c>
      <c r="G189" s="4"/>
      <c r="H189" s="7" t="str">
        <f t="shared" si="5"/>
        <v>OK</v>
      </c>
    </row>
    <row r="190" spans="1:8" ht="15">
      <c r="A190" s="5">
        <v>13</v>
      </c>
      <c r="B190" s="5">
        <v>9</v>
      </c>
      <c r="C190" s="5" t="s">
        <v>33</v>
      </c>
      <c r="D190" s="5" t="s">
        <v>33</v>
      </c>
      <c r="E190" s="25">
        <f t="shared" si="4"/>
        <v>1</v>
      </c>
      <c r="F190" s="27">
        <v>2.2000000000000002</v>
      </c>
      <c r="G190" s="4"/>
      <c r="H190" s="7" t="str">
        <f t="shared" si="5"/>
        <v>OK</v>
      </c>
    </row>
    <row r="191" spans="1:8" ht="15">
      <c r="A191" s="5">
        <v>13</v>
      </c>
      <c r="B191" s="5">
        <v>10</v>
      </c>
      <c r="C191" s="5" t="s">
        <v>21</v>
      </c>
      <c r="D191" s="5" t="s">
        <v>21</v>
      </c>
      <c r="E191" s="25">
        <f t="shared" si="4"/>
        <v>1</v>
      </c>
      <c r="F191" s="27">
        <v>1.08</v>
      </c>
      <c r="G191" s="4"/>
      <c r="H191" s="7" t="str">
        <f t="shared" si="5"/>
        <v>OK</v>
      </c>
    </row>
    <row r="192" spans="1:8" ht="15">
      <c r="A192" s="5">
        <v>13</v>
      </c>
      <c r="B192" s="5">
        <v>11</v>
      </c>
      <c r="C192" s="5" t="s">
        <v>26</v>
      </c>
      <c r="D192" s="5" t="s">
        <v>16</v>
      </c>
      <c r="E192" s="25">
        <f t="shared" si="4"/>
        <v>0</v>
      </c>
      <c r="F192" s="27">
        <v>1.42</v>
      </c>
      <c r="G192" s="4"/>
      <c r="H192" s="7" t="str">
        <f t="shared" si="5"/>
        <v>OK</v>
      </c>
    </row>
    <row r="193" spans="1:8" ht="15">
      <c r="A193" s="5">
        <v>13</v>
      </c>
      <c r="B193" s="5">
        <v>12</v>
      </c>
      <c r="C193" s="5" t="s">
        <v>23</v>
      </c>
      <c r="D193" s="5" t="s">
        <v>23</v>
      </c>
      <c r="E193" s="25">
        <f t="shared" si="4"/>
        <v>1</v>
      </c>
      <c r="F193" s="27">
        <v>1.96</v>
      </c>
      <c r="G193" s="4"/>
      <c r="H193" s="7" t="str">
        <f t="shared" si="5"/>
        <v>OK</v>
      </c>
    </row>
    <row r="194" spans="1:8" ht="15">
      <c r="A194" s="5">
        <v>13</v>
      </c>
      <c r="B194" s="5">
        <v>13</v>
      </c>
      <c r="C194" s="5" t="s">
        <v>1</v>
      </c>
      <c r="D194" s="5" t="s">
        <v>1</v>
      </c>
      <c r="E194" s="25">
        <f t="shared" ref="E194:E226" si="6">IF(D194="","",IF(UPPER(TRIM(D194))=UPPER(TRIM(C194)),1,0))</f>
        <v>1</v>
      </c>
      <c r="F194" s="27">
        <v>1.1200000000000001</v>
      </c>
      <c r="G194" s="4"/>
      <c r="H194" s="7" t="str">
        <f t="shared" si="5"/>
        <v>OK</v>
      </c>
    </row>
    <row r="195" spans="1:8" ht="15">
      <c r="A195" s="5">
        <v>13</v>
      </c>
      <c r="B195" s="5">
        <v>14</v>
      </c>
      <c r="C195" s="5" t="s">
        <v>21</v>
      </c>
      <c r="D195" s="5" t="s">
        <v>21</v>
      </c>
      <c r="E195" s="25">
        <f t="shared" si="6"/>
        <v>1</v>
      </c>
      <c r="F195" s="27">
        <v>1.98</v>
      </c>
      <c r="G195" s="4"/>
      <c r="H195" s="7" t="str">
        <f t="shared" ref="H195:H226" si="7">IF(AND(D195&lt;&gt;"",F195&lt;&gt;""),"OK","PENDIENTE")</f>
        <v>OK</v>
      </c>
    </row>
    <row r="196" spans="1:8" ht="15">
      <c r="A196" s="5">
        <v>13</v>
      </c>
      <c r="B196" s="5">
        <v>15</v>
      </c>
      <c r="C196" s="5" t="s">
        <v>14</v>
      </c>
      <c r="D196" s="5" t="s">
        <v>14</v>
      </c>
      <c r="E196" s="25">
        <f t="shared" si="6"/>
        <v>1</v>
      </c>
      <c r="F196" s="27">
        <v>3.34</v>
      </c>
      <c r="G196" s="4"/>
      <c r="H196" s="7" t="str">
        <f t="shared" si="7"/>
        <v>OK</v>
      </c>
    </row>
    <row r="197" spans="1:8" ht="15">
      <c r="A197" s="5">
        <v>14</v>
      </c>
      <c r="B197" s="5">
        <v>1</v>
      </c>
      <c r="C197" s="5" t="s">
        <v>23</v>
      </c>
      <c r="D197" s="5" t="s">
        <v>23</v>
      </c>
      <c r="E197" s="25">
        <f t="shared" si="6"/>
        <v>1</v>
      </c>
      <c r="F197" s="27">
        <v>2.63</v>
      </c>
      <c r="G197" s="4"/>
      <c r="H197" s="7" t="str">
        <f t="shared" si="7"/>
        <v>OK</v>
      </c>
    </row>
    <row r="198" spans="1:8" ht="15">
      <c r="A198" s="5">
        <v>14</v>
      </c>
      <c r="B198" s="5">
        <v>2</v>
      </c>
      <c r="C198" s="5" t="s">
        <v>13</v>
      </c>
      <c r="D198" s="5" t="s">
        <v>13</v>
      </c>
      <c r="E198" s="25">
        <f t="shared" si="6"/>
        <v>1</v>
      </c>
      <c r="F198" s="27">
        <v>2.61</v>
      </c>
      <c r="G198" s="4"/>
      <c r="H198" s="7" t="str">
        <f t="shared" si="7"/>
        <v>OK</v>
      </c>
    </row>
    <row r="199" spans="1:8" ht="15">
      <c r="A199" s="5">
        <v>14</v>
      </c>
      <c r="B199" s="5">
        <v>3</v>
      </c>
      <c r="C199" s="5" t="s">
        <v>21</v>
      </c>
      <c r="D199" s="5" t="s">
        <v>21</v>
      </c>
      <c r="E199" s="25">
        <f t="shared" si="6"/>
        <v>1</v>
      </c>
      <c r="F199" s="27">
        <v>3.87</v>
      </c>
      <c r="G199" s="4"/>
      <c r="H199" s="7" t="str">
        <f t="shared" si="7"/>
        <v>OK</v>
      </c>
    </row>
    <row r="200" spans="1:8" ht="15">
      <c r="A200" s="5">
        <v>14</v>
      </c>
      <c r="B200" s="5">
        <v>4</v>
      </c>
      <c r="C200" s="5" t="s">
        <v>26</v>
      </c>
      <c r="D200" s="5" t="s">
        <v>16</v>
      </c>
      <c r="E200" s="25">
        <f t="shared" si="6"/>
        <v>0</v>
      </c>
      <c r="F200" s="27">
        <v>1.71</v>
      </c>
      <c r="G200" s="4"/>
      <c r="H200" s="7" t="str">
        <f t="shared" si="7"/>
        <v>OK</v>
      </c>
    </row>
    <row r="201" spans="1:8" ht="15">
      <c r="A201" s="5">
        <v>14</v>
      </c>
      <c r="B201" s="5">
        <v>5</v>
      </c>
      <c r="C201" s="5" t="s">
        <v>17</v>
      </c>
      <c r="D201" s="5" t="s">
        <v>17</v>
      </c>
      <c r="E201" s="25">
        <f t="shared" si="6"/>
        <v>1</v>
      </c>
      <c r="F201" s="27">
        <v>3.65</v>
      </c>
      <c r="G201" s="4"/>
      <c r="H201" s="7" t="str">
        <f t="shared" si="7"/>
        <v>OK</v>
      </c>
    </row>
    <row r="202" spans="1:8" ht="15">
      <c r="A202" s="5">
        <v>14</v>
      </c>
      <c r="B202" s="5">
        <v>6</v>
      </c>
      <c r="C202" s="5" t="s">
        <v>29</v>
      </c>
      <c r="D202" s="5" t="s">
        <v>60</v>
      </c>
      <c r="E202" s="25">
        <f t="shared" si="6"/>
        <v>0</v>
      </c>
      <c r="F202" s="27">
        <v>1.62</v>
      </c>
      <c r="G202" s="4"/>
      <c r="H202" s="7" t="str">
        <f t="shared" si="7"/>
        <v>OK</v>
      </c>
    </row>
    <row r="203" spans="1:8" ht="15">
      <c r="A203" s="5">
        <v>14</v>
      </c>
      <c r="B203" s="5">
        <v>7</v>
      </c>
      <c r="C203" s="5" t="s">
        <v>10</v>
      </c>
      <c r="D203" s="5" t="s">
        <v>10</v>
      </c>
      <c r="E203" s="25">
        <f t="shared" si="6"/>
        <v>1</v>
      </c>
      <c r="F203" s="27">
        <v>1.71</v>
      </c>
      <c r="G203" s="4"/>
      <c r="H203" s="7" t="str">
        <f t="shared" si="7"/>
        <v>OK</v>
      </c>
    </row>
    <row r="204" spans="1:8" ht="15">
      <c r="A204" s="5">
        <v>14</v>
      </c>
      <c r="B204" s="5">
        <v>8</v>
      </c>
      <c r="C204" s="5" t="s">
        <v>30</v>
      </c>
      <c r="D204" s="5" t="s">
        <v>31</v>
      </c>
      <c r="E204" s="25">
        <f t="shared" si="6"/>
        <v>0</v>
      </c>
      <c r="F204" s="27">
        <v>2.65</v>
      </c>
      <c r="G204" s="4"/>
      <c r="H204" s="7" t="str">
        <f t="shared" si="7"/>
        <v>OK</v>
      </c>
    </row>
    <row r="205" spans="1:8" ht="15">
      <c r="A205" s="5">
        <v>14</v>
      </c>
      <c r="B205" s="5">
        <v>9</v>
      </c>
      <c r="C205" s="5" t="s">
        <v>17</v>
      </c>
      <c r="D205" s="5" t="s">
        <v>17</v>
      </c>
      <c r="E205" s="25">
        <f t="shared" si="6"/>
        <v>1</v>
      </c>
      <c r="F205" s="27">
        <v>1.04</v>
      </c>
      <c r="G205" s="4"/>
      <c r="H205" s="7" t="str">
        <f t="shared" si="7"/>
        <v>OK</v>
      </c>
    </row>
    <row r="206" spans="1:8" ht="15">
      <c r="A206" s="5">
        <v>14</v>
      </c>
      <c r="B206" s="5">
        <v>10</v>
      </c>
      <c r="C206" s="5" t="s">
        <v>32</v>
      </c>
      <c r="D206" s="5" t="s">
        <v>32</v>
      </c>
      <c r="E206" s="25">
        <f t="shared" si="6"/>
        <v>1</v>
      </c>
      <c r="F206" s="27">
        <v>3.82</v>
      </c>
      <c r="G206" s="4"/>
      <c r="H206" s="7" t="str">
        <f t="shared" si="7"/>
        <v>OK</v>
      </c>
    </row>
    <row r="207" spans="1:8" ht="15">
      <c r="A207" s="5">
        <v>14</v>
      </c>
      <c r="B207" s="5">
        <v>11</v>
      </c>
      <c r="C207" s="5" t="s">
        <v>13</v>
      </c>
      <c r="D207" s="5" t="s">
        <v>13</v>
      </c>
      <c r="E207" s="25">
        <f t="shared" si="6"/>
        <v>1</v>
      </c>
      <c r="F207" s="27">
        <v>2.94</v>
      </c>
      <c r="G207" s="4"/>
      <c r="H207" s="7" t="str">
        <f t="shared" si="7"/>
        <v>OK</v>
      </c>
    </row>
    <row r="208" spans="1:8" ht="15">
      <c r="A208" s="5">
        <v>14</v>
      </c>
      <c r="B208" s="5">
        <v>12</v>
      </c>
      <c r="C208" s="5" t="s">
        <v>1</v>
      </c>
      <c r="D208" s="5" t="s">
        <v>1</v>
      </c>
      <c r="E208" s="25">
        <f t="shared" si="6"/>
        <v>1</v>
      </c>
      <c r="F208" s="27">
        <v>3.61</v>
      </c>
      <c r="G208" s="4"/>
      <c r="H208" s="7" t="str">
        <f t="shared" si="7"/>
        <v>OK</v>
      </c>
    </row>
    <row r="209" spans="1:8" ht="15">
      <c r="A209" s="5">
        <v>14</v>
      </c>
      <c r="B209" s="5">
        <v>13</v>
      </c>
      <c r="C209" s="5" t="s">
        <v>21</v>
      </c>
      <c r="D209" s="5" t="s">
        <v>21</v>
      </c>
      <c r="E209" s="25">
        <f t="shared" si="6"/>
        <v>1</v>
      </c>
      <c r="F209" s="27">
        <v>1.68</v>
      </c>
      <c r="G209" s="4"/>
      <c r="H209" s="7" t="str">
        <f t="shared" si="7"/>
        <v>OK</v>
      </c>
    </row>
    <row r="210" spans="1:8" ht="15">
      <c r="A210" s="5">
        <v>14</v>
      </c>
      <c r="B210" s="5">
        <v>14</v>
      </c>
      <c r="C210" s="5" t="s">
        <v>28</v>
      </c>
      <c r="D210" s="5" t="s">
        <v>28</v>
      </c>
      <c r="E210" s="25">
        <f t="shared" si="6"/>
        <v>1</v>
      </c>
      <c r="F210" s="27">
        <v>2.5499999999999998</v>
      </c>
      <c r="G210" s="4"/>
      <c r="H210" s="7" t="str">
        <f t="shared" si="7"/>
        <v>OK</v>
      </c>
    </row>
    <row r="211" spans="1:8" ht="15">
      <c r="A211" s="5">
        <v>14</v>
      </c>
      <c r="B211" s="5">
        <v>15</v>
      </c>
      <c r="C211" s="5" t="s">
        <v>25</v>
      </c>
      <c r="D211" s="5" t="s">
        <v>25</v>
      </c>
      <c r="E211" s="25">
        <f t="shared" si="6"/>
        <v>1</v>
      </c>
      <c r="F211" s="27">
        <v>3.69</v>
      </c>
      <c r="G211" s="4"/>
      <c r="H211" s="7" t="str">
        <f t="shared" si="7"/>
        <v>OK</v>
      </c>
    </row>
    <row r="212" spans="1:8" ht="15">
      <c r="A212" s="5">
        <v>15</v>
      </c>
      <c r="B212" s="5">
        <v>1</v>
      </c>
      <c r="C212" s="5" t="s">
        <v>16</v>
      </c>
      <c r="D212" s="5" t="s">
        <v>16</v>
      </c>
      <c r="E212" s="25">
        <f t="shared" si="6"/>
        <v>1</v>
      </c>
      <c r="F212" s="27">
        <v>2.5</v>
      </c>
      <c r="G212" s="4"/>
      <c r="H212" s="7" t="str">
        <f t="shared" si="7"/>
        <v>OK</v>
      </c>
    </row>
    <row r="213" spans="1:8" ht="15">
      <c r="A213" s="5">
        <v>15</v>
      </c>
      <c r="B213" s="5">
        <v>2</v>
      </c>
      <c r="C213" s="5" t="s">
        <v>20</v>
      </c>
      <c r="D213" s="5" t="s">
        <v>20</v>
      </c>
      <c r="E213" s="25">
        <f t="shared" si="6"/>
        <v>1</v>
      </c>
      <c r="F213" s="27">
        <v>2.19</v>
      </c>
      <c r="G213" s="4"/>
      <c r="H213" s="7" t="str">
        <f t="shared" si="7"/>
        <v>OK</v>
      </c>
    </row>
    <row r="214" spans="1:8" ht="15">
      <c r="A214" s="5">
        <v>15</v>
      </c>
      <c r="B214" s="5">
        <v>3</v>
      </c>
      <c r="C214" s="5" t="s">
        <v>17</v>
      </c>
      <c r="D214" s="5" t="s">
        <v>17</v>
      </c>
      <c r="E214" s="25">
        <f t="shared" si="6"/>
        <v>1</v>
      </c>
      <c r="F214" s="27">
        <v>3.42</v>
      </c>
      <c r="G214" s="4"/>
      <c r="H214" s="7" t="str">
        <f t="shared" si="7"/>
        <v>OK</v>
      </c>
    </row>
    <row r="215" spans="1:8" ht="15">
      <c r="A215" s="5">
        <v>15</v>
      </c>
      <c r="B215" s="5">
        <v>4</v>
      </c>
      <c r="C215" s="5" t="s">
        <v>30</v>
      </c>
      <c r="D215" s="5" t="s">
        <v>30</v>
      </c>
      <c r="E215" s="25">
        <f t="shared" si="6"/>
        <v>1</v>
      </c>
      <c r="F215" s="27">
        <v>1.82</v>
      </c>
      <c r="G215" s="4"/>
      <c r="H215" s="7" t="str">
        <f t="shared" si="7"/>
        <v>OK</v>
      </c>
    </row>
    <row r="216" spans="1:8" ht="15">
      <c r="A216" s="5">
        <v>15</v>
      </c>
      <c r="B216" s="5">
        <v>5</v>
      </c>
      <c r="C216" s="5" t="s">
        <v>24</v>
      </c>
      <c r="D216" s="5" t="s">
        <v>24</v>
      </c>
      <c r="E216" s="25">
        <f t="shared" si="6"/>
        <v>1</v>
      </c>
      <c r="F216" s="27">
        <v>1.44</v>
      </c>
      <c r="G216" s="4"/>
      <c r="H216" s="7" t="str">
        <f t="shared" si="7"/>
        <v>OK</v>
      </c>
    </row>
    <row r="217" spans="1:8" ht="15">
      <c r="A217" s="5">
        <v>15</v>
      </c>
      <c r="B217" s="5">
        <v>6</v>
      </c>
      <c r="C217" s="5" t="s">
        <v>24</v>
      </c>
      <c r="D217" s="5" t="s">
        <v>24</v>
      </c>
      <c r="E217" s="25">
        <f t="shared" si="6"/>
        <v>1</v>
      </c>
      <c r="F217" s="27">
        <v>3.82</v>
      </c>
      <c r="G217" s="4"/>
      <c r="H217" s="7" t="str">
        <f t="shared" si="7"/>
        <v>OK</v>
      </c>
    </row>
    <row r="218" spans="1:8" ht="15">
      <c r="A218" s="5">
        <v>15</v>
      </c>
      <c r="B218" s="5">
        <v>7</v>
      </c>
      <c r="C218" s="5" t="s">
        <v>24</v>
      </c>
      <c r="D218" s="5" t="s">
        <v>24</v>
      </c>
      <c r="E218" s="25">
        <f t="shared" si="6"/>
        <v>1</v>
      </c>
      <c r="F218" s="27">
        <v>2.17</v>
      </c>
      <c r="G218" s="4"/>
      <c r="H218" s="7" t="str">
        <f t="shared" si="7"/>
        <v>OK</v>
      </c>
    </row>
    <row r="219" spans="1:8" ht="15">
      <c r="A219" s="5">
        <v>15</v>
      </c>
      <c r="B219" s="5">
        <v>8</v>
      </c>
      <c r="C219" s="5" t="s">
        <v>27</v>
      </c>
      <c r="D219" s="5" t="s">
        <v>32</v>
      </c>
      <c r="E219" s="25">
        <f t="shared" si="6"/>
        <v>0</v>
      </c>
      <c r="F219" s="27">
        <v>3.51</v>
      </c>
      <c r="G219" s="4"/>
      <c r="H219" s="7" t="str">
        <f t="shared" si="7"/>
        <v>OK</v>
      </c>
    </row>
    <row r="220" spans="1:8" ht="15">
      <c r="A220" s="5">
        <v>15</v>
      </c>
      <c r="B220" s="5">
        <v>9</v>
      </c>
      <c r="C220" s="5" t="s">
        <v>31</v>
      </c>
      <c r="D220" s="5" t="s">
        <v>30</v>
      </c>
      <c r="E220" s="25">
        <f t="shared" si="6"/>
        <v>0</v>
      </c>
      <c r="F220" s="27">
        <v>2.46</v>
      </c>
      <c r="G220" s="4"/>
      <c r="H220" s="7" t="str">
        <f t="shared" si="7"/>
        <v>OK</v>
      </c>
    </row>
    <row r="221" spans="1:8" ht="15">
      <c r="A221" s="5">
        <v>15</v>
      </c>
      <c r="B221" s="5">
        <v>10</v>
      </c>
      <c r="C221" s="5" t="s">
        <v>21</v>
      </c>
      <c r="D221" s="5" t="s">
        <v>21</v>
      </c>
      <c r="E221" s="25">
        <f t="shared" si="6"/>
        <v>1</v>
      </c>
      <c r="F221" s="27">
        <v>2.4700000000000002</v>
      </c>
      <c r="G221" s="4"/>
      <c r="H221" s="7" t="str">
        <f t="shared" si="7"/>
        <v>OK</v>
      </c>
    </row>
    <row r="222" spans="1:8" ht="15">
      <c r="A222" s="5">
        <v>15</v>
      </c>
      <c r="B222" s="5">
        <v>11</v>
      </c>
      <c r="C222" s="5" t="s">
        <v>28</v>
      </c>
      <c r="D222" s="5" t="s">
        <v>28</v>
      </c>
      <c r="E222" s="25">
        <f t="shared" si="6"/>
        <v>1</v>
      </c>
      <c r="F222" s="27">
        <v>3.26</v>
      </c>
      <c r="G222" s="4"/>
      <c r="H222" s="7" t="str">
        <f t="shared" si="7"/>
        <v>OK</v>
      </c>
    </row>
    <row r="223" spans="1:8" ht="15">
      <c r="A223" s="5">
        <v>15</v>
      </c>
      <c r="B223" s="5">
        <v>12</v>
      </c>
      <c r="C223" s="5" t="s">
        <v>21</v>
      </c>
      <c r="D223" s="5" t="s">
        <v>21</v>
      </c>
      <c r="E223" s="25">
        <f t="shared" si="6"/>
        <v>1</v>
      </c>
      <c r="F223" s="27">
        <v>1.02</v>
      </c>
      <c r="G223" s="4"/>
      <c r="H223" s="7" t="str">
        <f t="shared" si="7"/>
        <v>OK</v>
      </c>
    </row>
    <row r="224" spans="1:8" ht="15">
      <c r="A224" s="5">
        <v>15</v>
      </c>
      <c r="B224" s="5">
        <v>13</v>
      </c>
      <c r="C224" s="5" t="s">
        <v>1</v>
      </c>
      <c r="D224" s="5" t="s">
        <v>1</v>
      </c>
      <c r="E224" s="25">
        <f t="shared" si="6"/>
        <v>1</v>
      </c>
      <c r="F224" s="27">
        <v>3.18</v>
      </c>
      <c r="G224" s="4"/>
      <c r="H224" s="7" t="str">
        <f t="shared" si="7"/>
        <v>OK</v>
      </c>
    </row>
    <row r="225" spans="1:8" ht="15">
      <c r="A225" s="5">
        <v>15</v>
      </c>
      <c r="B225" s="5">
        <v>14</v>
      </c>
      <c r="C225" s="5" t="s">
        <v>14</v>
      </c>
      <c r="D225" s="5" t="s">
        <v>14</v>
      </c>
      <c r="E225" s="25">
        <f t="shared" si="6"/>
        <v>1</v>
      </c>
      <c r="F225" s="27">
        <v>3.61</v>
      </c>
      <c r="G225" s="4"/>
      <c r="H225" s="7" t="str">
        <f t="shared" si="7"/>
        <v>OK</v>
      </c>
    </row>
    <row r="226" spans="1:8" ht="15">
      <c r="A226" s="9">
        <v>15</v>
      </c>
      <c r="B226" s="9">
        <v>15</v>
      </c>
      <c r="C226" s="9" t="s">
        <v>17</v>
      </c>
      <c r="D226" s="9" t="s">
        <v>17</v>
      </c>
      <c r="E226" s="26">
        <f t="shared" si="6"/>
        <v>1</v>
      </c>
      <c r="F226" s="27">
        <v>1.49</v>
      </c>
      <c r="G226" s="8"/>
      <c r="H226" s="7" t="str">
        <f t="shared" si="7"/>
        <v>OK</v>
      </c>
    </row>
  </sheetData>
  <phoneticPr fontId="9" type="noConversion"/>
  <conditionalFormatting sqref="H2:H226">
    <cfRule type="expression" dxfId="41" priority="1">
      <formula>H2="OK"</formula>
    </cfRule>
    <cfRule type="expression" dxfId="40" priority="2">
      <formula>H2="PENDIENTE"</formula>
    </cfRule>
  </conditionalFormatting>
  <conditionalFormatting sqref="E2:E226">
    <cfRule type="expression" dxfId="39" priority="3">
      <formula>AND(E2&lt;&gt;"",E2=1)</formula>
    </cfRule>
    <cfRule type="expression" dxfId="38" priority="4">
      <formula>AND(E2&lt;&gt;"",E2=0)</formula>
    </cfRule>
  </conditionalFormatting>
  <pageMargins left="0.7" right="0.7" top="0.75" bottom="0.75" header="0.3" footer="0.3"/>
  <pageSetup paperSize="9"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9"/>
  <sheetViews>
    <sheetView zoomScale="89" zoomScaleNormal="89" workbookViewId="0">
      <selection activeCell="F22" sqref="F22"/>
    </sheetView>
  </sheetViews>
  <sheetFormatPr baseColWidth="10" defaultColWidth="9" defaultRowHeight="14.25"/>
  <cols>
    <col min="1" max="1" width="22" customWidth="1"/>
    <col min="2" max="3" width="16" customWidth="1"/>
    <col min="4" max="4" width="14" customWidth="1"/>
    <col min="5" max="5" width="16" customWidth="1"/>
    <col min="6" max="6" width="14" customWidth="1"/>
    <col min="7" max="7" width="20" customWidth="1"/>
    <col min="8" max="8" width="25" bestFit="1" customWidth="1"/>
  </cols>
  <sheetData>
    <row r="1" spans="1:8" ht="19.5" customHeight="1">
      <c r="A1" s="29" t="s">
        <v>35</v>
      </c>
      <c r="B1" s="30"/>
      <c r="C1" s="30"/>
      <c r="D1" s="30"/>
      <c r="E1" s="30"/>
      <c r="F1" s="30"/>
      <c r="G1" s="30"/>
      <c r="H1" s="31"/>
    </row>
    <row r="2" spans="1:8" ht="15" customHeight="1">
      <c r="A2" s="32"/>
      <c r="B2" s="33"/>
      <c r="C2" s="33"/>
      <c r="D2" s="33"/>
      <c r="E2" s="33"/>
      <c r="F2" s="33"/>
      <c r="G2" s="33"/>
      <c r="H2" s="34"/>
    </row>
    <row r="3" spans="1:8" ht="15">
      <c r="A3" s="14"/>
      <c r="B3" s="14"/>
      <c r="C3" s="14"/>
      <c r="D3" s="14"/>
      <c r="E3" s="14"/>
      <c r="F3" s="14"/>
      <c r="G3" s="14"/>
      <c r="H3" s="14"/>
    </row>
    <row r="4" spans="1:8" ht="15">
      <c r="A4" s="16" t="s">
        <v>4</v>
      </c>
      <c r="B4" s="16" t="s">
        <v>36</v>
      </c>
      <c r="C4" s="16" t="s">
        <v>37</v>
      </c>
      <c r="D4" s="16" t="s">
        <v>38</v>
      </c>
      <c r="E4" s="16" t="s">
        <v>39</v>
      </c>
      <c r="F4" s="16" t="s">
        <v>40</v>
      </c>
      <c r="G4" s="16" t="s">
        <v>41</v>
      </c>
      <c r="H4" s="16" t="s">
        <v>42</v>
      </c>
    </row>
    <row r="5" spans="1:8" ht="15">
      <c r="A5" s="5">
        <v>1</v>
      </c>
      <c r="B5" s="5">
        <v>15</v>
      </c>
      <c r="C5" s="5">
        <f>COUNTIFS(ASIS_Detalle!$A$2:$A$226,A5,ASIS_Detalle!$D$2:$D$226,"&lt;&gt;")</f>
        <v>15</v>
      </c>
      <c r="D5" s="5">
        <f>SUMIFS(ASIS_Detalle!$E$2:$E$226,ASIS_Detalle!$A$2:$A$226,A5)</f>
        <v>11</v>
      </c>
      <c r="E5" s="6">
        <f t="shared" ref="E5:E19" si="0">IF(C5=0,"",D5/C5*100)</f>
        <v>73.333333333333329</v>
      </c>
      <c r="F5" s="5">
        <f>COUNTIFS(ASIS_Detalle!$A$2:$A$226,A5,ASIS_Detalle!$F$2:$F$226,"&gt;0")</f>
        <v>15</v>
      </c>
      <c r="G5" s="6">
        <f>IF(F5=0,"",SUMIFS(ASIS_Detalle!$F$2:$F$226,ASIS_Detalle!$A$2:$A$226,A5)/F5)</f>
        <v>2.5320000000000005</v>
      </c>
      <c r="H5" s="5" t="str">
        <f>IF(AND(C5=15,F5=15),"COMPLETO",IF(OR(C5&gt;0,F5&gt;0),"INCOMPLETO","PENDIENTE"))</f>
        <v>COMPLETO</v>
      </c>
    </row>
    <row r="6" spans="1:8" ht="15">
      <c r="A6" s="5">
        <v>2</v>
      </c>
      <c r="B6" s="5">
        <v>15</v>
      </c>
      <c r="C6" s="5">
        <f>COUNTIFS(ASIS_Detalle!$A$2:$A$226,A6,ASIS_Detalle!$D$2:$D$226,"&lt;&gt;")</f>
        <v>15</v>
      </c>
      <c r="D6" s="5">
        <f>SUMIFS(ASIS_Detalle!$E$2:$E$226,ASIS_Detalle!$A$2:$A$226,A6)</f>
        <v>13</v>
      </c>
      <c r="E6" s="6">
        <f t="shared" si="0"/>
        <v>86.666666666666671</v>
      </c>
      <c r="F6" s="5">
        <f>COUNTIFS(ASIS_Detalle!$A$2:$A$226,A6,ASIS_Detalle!$F$2:$F$226,"&gt;0")</f>
        <v>15</v>
      </c>
      <c r="G6" s="6">
        <f>IF(F6=0,"",SUMIFS(ASIS_Detalle!$F$2:$F$226,ASIS_Detalle!$A$2:$A$226,A6)/F6)</f>
        <v>2.6493333333333329</v>
      </c>
      <c r="H6" s="5" t="str">
        <f t="shared" ref="H6:H19" si="1">IF(AND(C6=15,F6=15),"COMPLETO",IF(OR(C6&gt;0,F6&gt;0),"INCOMPLETO","PENDIENTE"))</f>
        <v>COMPLETO</v>
      </c>
    </row>
    <row r="7" spans="1:8" ht="15">
      <c r="A7" s="5">
        <v>3</v>
      </c>
      <c r="B7" s="5">
        <v>15</v>
      </c>
      <c r="C7" s="5">
        <f>COUNTIFS(ASIS_Detalle!$A$2:$A$226,A7,ASIS_Detalle!$D$2:$D$226,"&lt;&gt;")</f>
        <v>15</v>
      </c>
      <c r="D7" s="5">
        <f>SUMIFS(ASIS_Detalle!$E$2:$E$226,ASIS_Detalle!$A$2:$A$226,A7)</f>
        <v>11</v>
      </c>
      <c r="E7" s="6">
        <f t="shared" si="0"/>
        <v>73.333333333333329</v>
      </c>
      <c r="F7" s="5">
        <f>COUNTIFS(ASIS_Detalle!$A$2:$A$226,A7,ASIS_Detalle!$F$2:$F$226,"&gt;0")</f>
        <v>15</v>
      </c>
      <c r="G7" s="6">
        <f>IF(F7=0,"",SUMIFS(ASIS_Detalle!$F$2:$F$226,ASIS_Detalle!$A$2:$A$226,A7)/F7)</f>
        <v>2.4666666666666663</v>
      </c>
      <c r="H7" s="5" t="str">
        <f t="shared" si="1"/>
        <v>COMPLETO</v>
      </c>
    </row>
    <row r="8" spans="1:8" ht="15">
      <c r="A8" s="5">
        <v>4</v>
      </c>
      <c r="B8" s="5">
        <v>15</v>
      </c>
      <c r="C8" s="5">
        <f>COUNTIFS(ASIS_Detalle!$A$2:$A$226,A8,ASIS_Detalle!$D$2:$D$226,"&lt;&gt;")</f>
        <v>15</v>
      </c>
      <c r="D8" s="5">
        <f>SUMIFS(ASIS_Detalle!$E$2:$E$226,ASIS_Detalle!$A$2:$A$226,A8)</f>
        <v>11</v>
      </c>
      <c r="E8" s="6">
        <f t="shared" si="0"/>
        <v>73.333333333333329</v>
      </c>
      <c r="F8" s="5">
        <f>COUNTIFS(ASIS_Detalle!$A$2:$A$226,A8,ASIS_Detalle!$F$2:$F$226,"&gt;0")</f>
        <v>15</v>
      </c>
      <c r="G8" s="6">
        <f>IF(F8=0,"",SUMIFS(ASIS_Detalle!$F$2:$F$226,ASIS_Detalle!$A$2:$A$226,A8)/F8)</f>
        <v>2.5340000000000003</v>
      </c>
      <c r="H8" s="5" t="str">
        <f t="shared" si="1"/>
        <v>COMPLETO</v>
      </c>
    </row>
    <row r="9" spans="1:8" ht="15">
      <c r="A9" s="5">
        <v>5</v>
      </c>
      <c r="B9" s="5">
        <v>15</v>
      </c>
      <c r="C9" s="5">
        <f>COUNTIFS(ASIS_Detalle!$A$2:$A$226,A9,ASIS_Detalle!$D$2:$D$226,"&lt;&gt;")</f>
        <v>15</v>
      </c>
      <c r="D9" s="5">
        <f>SUMIFS(ASIS_Detalle!$E$2:$E$226,ASIS_Detalle!$A$2:$A$226,A9)</f>
        <v>12</v>
      </c>
      <c r="E9" s="6">
        <f t="shared" si="0"/>
        <v>80</v>
      </c>
      <c r="F9" s="5">
        <f>COUNTIFS(ASIS_Detalle!$A$2:$A$226,A9,ASIS_Detalle!$F$2:$F$226,"&gt;0")</f>
        <v>15</v>
      </c>
      <c r="G9" s="6">
        <f>IF(F9=0,"",SUMIFS(ASIS_Detalle!$F$2:$F$226,ASIS_Detalle!$A$2:$A$226,A9)/F9)</f>
        <v>2.7079999999999993</v>
      </c>
      <c r="H9" s="5" t="str">
        <f t="shared" si="1"/>
        <v>COMPLETO</v>
      </c>
    </row>
    <row r="10" spans="1:8" ht="15">
      <c r="A10" s="5">
        <v>6</v>
      </c>
      <c r="B10" s="5">
        <v>15</v>
      </c>
      <c r="C10" s="5">
        <f>COUNTIFS(ASIS_Detalle!$A$2:$A$226,A10,ASIS_Detalle!$D$2:$D$226,"&lt;&gt;")</f>
        <v>15</v>
      </c>
      <c r="D10" s="5">
        <f>SUMIFS(ASIS_Detalle!$E$2:$E$226,ASIS_Detalle!$A$2:$A$226,A10)</f>
        <v>11</v>
      </c>
      <c r="E10" s="6">
        <f t="shared" si="0"/>
        <v>73.333333333333329</v>
      </c>
      <c r="F10" s="5">
        <f>COUNTIFS(ASIS_Detalle!$A$2:$A$226,A10,ASIS_Detalle!$F$2:$F$226,"&gt;0")</f>
        <v>15</v>
      </c>
      <c r="G10" s="6">
        <f>IF(F10=0,"",SUMIFS(ASIS_Detalle!$F$2:$F$226,ASIS_Detalle!$A$2:$A$226,A10)/F10)</f>
        <v>2.1753333333333336</v>
      </c>
      <c r="H10" s="5" t="str">
        <f t="shared" si="1"/>
        <v>COMPLETO</v>
      </c>
    </row>
    <row r="11" spans="1:8" ht="15">
      <c r="A11" s="5">
        <v>7</v>
      </c>
      <c r="B11" s="5">
        <v>15</v>
      </c>
      <c r="C11" s="5">
        <f>COUNTIFS(ASIS_Detalle!$A$2:$A$226,A11,ASIS_Detalle!$D$2:$D$226,"&lt;&gt;")</f>
        <v>15</v>
      </c>
      <c r="D11" s="5">
        <f>SUMIFS(ASIS_Detalle!$E$2:$E$226,ASIS_Detalle!$A$2:$A$226,A11)</f>
        <v>10</v>
      </c>
      <c r="E11" s="6">
        <f t="shared" si="0"/>
        <v>66.666666666666657</v>
      </c>
      <c r="F11" s="5">
        <f>COUNTIFS(ASIS_Detalle!$A$2:$A$226,A11,ASIS_Detalle!$F$2:$F$226,"&gt;0")</f>
        <v>15</v>
      </c>
      <c r="G11" s="6">
        <f>IF(F11=0,"",SUMIFS(ASIS_Detalle!$F$2:$F$226,ASIS_Detalle!$A$2:$A$226,A11)/F11)</f>
        <v>2.5153333333333325</v>
      </c>
      <c r="H11" s="5" t="str">
        <f t="shared" si="1"/>
        <v>COMPLETO</v>
      </c>
    </row>
    <row r="12" spans="1:8" ht="15">
      <c r="A12" s="5">
        <v>8</v>
      </c>
      <c r="B12" s="5">
        <v>15</v>
      </c>
      <c r="C12" s="5">
        <f>COUNTIFS(ASIS_Detalle!$A$2:$A$226,A12,ASIS_Detalle!$D$2:$D$226,"&lt;&gt;")</f>
        <v>15</v>
      </c>
      <c r="D12" s="5">
        <f>SUMIFS(ASIS_Detalle!$E$2:$E$226,ASIS_Detalle!$A$2:$A$226,A12)</f>
        <v>12</v>
      </c>
      <c r="E12" s="6">
        <f t="shared" si="0"/>
        <v>80</v>
      </c>
      <c r="F12" s="5">
        <f>COUNTIFS(ASIS_Detalle!$A$2:$A$226,A12,ASIS_Detalle!$F$2:$F$226,"&gt;0")</f>
        <v>15</v>
      </c>
      <c r="G12" s="6">
        <f>IF(F12=0,"",SUMIFS(ASIS_Detalle!$F$2:$F$226,ASIS_Detalle!$A$2:$A$226,A12)/F12)</f>
        <v>2.5693333333333332</v>
      </c>
      <c r="H12" s="5" t="str">
        <f t="shared" si="1"/>
        <v>COMPLETO</v>
      </c>
    </row>
    <row r="13" spans="1:8" ht="15">
      <c r="A13" s="5">
        <v>9</v>
      </c>
      <c r="B13" s="5">
        <v>15</v>
      </c>
      <c r="C13" s="5">
        <f>COUNTIFS(ASIS_Detalle!$A$2:$A$226,A13,ASIS_Detalle!$D$2:$D$226,"&lt;&gt;")</f>
        <v>15</v>
      </c>
      <c r="D13" s="5">
        <f>SUMIFS(ASIS_Detalle!$E$2:$E$226,ASIS_Detalle!$A$2:$A$226,A13)</f>
        <v>13</v>
      </c>
      <c r="E13" s="6">
        <f t="shared" si="0"/>
        <v>86.666666666666671</v>
      </c>
      <c r="F13" s="5">
        <f>COUNTIFS(ASIS_Detalle!$A$2:$A$226,A13,ASIS_Detalle!$F$2:$F$226,"&gt;0")</f>
        <v>15</v>
      </c>
      <c r="G13" s="6">
        <f>IF(F13=0,"",SUMIFS(ASIS_Detalle!$F$2:$F$226,ASIS_Detalle!$A$2:$A$226,A13)/F13)</f>
        <v>2.2746666666666671</v>
      </c>
      <c r="H13" s="5" t="str">
        <f t="shared" si="1"/>
        <v>COMPLETO</v>
      </c>
    </row>
    <row r="14" spans="1:8" ht="15">
      <c r="A14" s="5">
        <v>10</v>
      </c>
      <c r="B14" s="5">
        <v>15</v>
      </c>
      <c r="C14" s="5">
        <f>COUNTIFS(ASIS_Detalle!$A$2:$A$226,A14,ASIS_Detalle!$D$2:$D$226,"&lt;&gt;")</f>
        <v>15</v>
      </c>
      <c r="D14" s="5">
        <f>SUMIFS(ASIS_Detalle!$E$2:$E$226,ASIS_Detalle!$A$2:$A$226,A14)</f>
        <v>12</v>
      </c>
      <c r="E14" s="6">
        <f t="shared" si="0"/>
        <v>80</v>
      </c>
      <c r="F14" s="5">
        <f>COUNTIFS(ASIS_Detalle!$A$2:$A$226,A14,ASIS_Detalle!$F$2:$F$226,"&gt;0")</f>
        <v>15</v>
      </c>
      <c r="G14" s="6">
        <f>IF(F14=0,"",SUMIFS(ASIS_Detalle!$F$2:$F$226,ASIS_Detalle!$A$2:$A$226,A14)/F14)</f>
        <v>2.5246666666666666</v>
      </c>
      <c r="H14" s="5" t="str">
        <f t="shared" si="1"/>
        <v>COMPLETO</v>
      </c>
    </row>
    <row r="15" spans="1:8" ht="15">
      <c r="A15" s="5">
        <v>11</v>
      </c>
      <c r="B15" s="5">
        <v>15</v>
      </c>
      <c r="C15" s="5">
        <f>COUNTIFS(ASIS_Detalle!$A$2:$A$226,A15,ASIS_Detalle!$D$2:$D$226,"&lt;&gt;")</f>
        <v>15</v>
      </c>
      <c r="D15" s="5">
        <f>SUMIFS(ASIS_Detalle!$E$2:$E$226,ASIS_Detalle!$A$2:$A$226,A15)</f>
        <v>15</v>
      </c>
      <c r="E15" s="6">
        <f t="shared" si="0"/>
        <v>100</v>
      </c>
      <c r="F15" s="5">
        <f>COUNTIFS(ASIS_Detalle!$A$2:$A$226,A15,ASIS_Detalle!$F$2:$F$226,"&gt;0")</f>
        <v>15</v>
      </c>
      <c r="G15" s="6">
        <f>IF(F15=0,"",SUMIFS(ASIS_Detalle!$F$2:$F$226,ASIS_Detalle!$A$2:$A$226,A15)/F15)</f>
        <v>2.472666666666667</v>
      </c>
      <c r="H15" s="5" t="str">
        <f t="shared" si="1"/>
        <v>COMPLETO</v>
      </c>
    </row>
    <row r="16" spans="1:8" ht="15">
      <c r="A16" s="5">
        <v>12</v>
      </c>
      <c r="B16" s="5">
        <v>15</v>
      </c>
      <c r="C16" s="5">
        <f>COUNTIFS(ASIS_Detalle!$A$2:$A$226,A16,ASIS_Detalle!$D$2:$D$226,"&lt;&gt;")</f>
        <v>15</v>
      </c>
      <c r="D16" s="5">
        <f>SUMIFS(ASIS_Detalle!$E$2:$E$226,ASIS_Detalle!$A$2:$A$226,A16)</f>
        <v>14</v>
      </c>
      <c r="E16" s="6">
        <f t="shared" si="0"/>
        <v>93.333333333333329</v>
      </c>
      <c r="F16" s="5">
        <f>COUNTIFS(ASIS_Detalle!$A$2:$A$226,A16,ASIS_Detalle!$F$2:$F$226,"&gt;0")</f>
        <v>15</v>
      </c>
      <c r="G16" s="6">
        <f>IF(F16=0,"",SUMIFS(ASIS_Detalle!$F$2:$F$226,ASIS_Detalle!$A$2:$A$226,A16)/F16)</f>
        <v>2.4473333333333334</v>
      </c>
      <c r="H16" s="5" t="str">
        <f t="shared" si="1"/>
        <v>COMPLETO</v>
      </c>
    </row>
    <row r="17" spans="1:8" ht="15">
      <c r="A17" s="5">
        <v>13</v>
      </c>
      <c r="B17" s="5">
        <v>15</v>
      </c>
      <c r="C17" s="5">
        <f>COUNTIFS(ASIS_Detalle!$A$2:$A$226,A17,ASIS_Detalle!$D$2:$D$226,"&lt;&gt;")</f>
        <v>15</v>
      </c>
      <c r="D17" s="5">
        <f>SUMIFS(ASIS_Detalle!$E$2:$E$226,ASIS_Detalle!$A$2:$A$226,A17)</f>
        <v>12</v>
      </c>
      <c r="E17" s="6">
        <f t="shared" si="0"/>
        <v>80</v>
      </c>
      <c r="F17" s="5">
        <f>COUNTIFS(ASIS_Detalle!$A$2:$A$226,A17,ASIS_Detalle!$F$2:$F$226,"&gt;0")</f>
        <v>15</v>
      </c>
      <c r="G17" s="6">
        <f>IF(F17=0,"",SUMIFS(ASIS_Detalle!$F$2:$F$226,ASIS_Detalle!$A$2:$A$226,A17)/F17)</f>
        <v>2.1913333333333336</v>
      </c>
      <c r="H17" s="5" t="str">
        <f t="shared" si="1"/>
        <v>COMPLETO</v>
      </c>
    </row>
    <row r="18" spans="1:8" ht="15">
      <c r="A18" s="5">
        <v>14</v>
      </c>
      <c r="B18" s="5">
        <v>15</v>
      </c>
      <c r="C18" s="5">
        <f>COUNTIFS(ASIS_Detalle!$A$2:$A$226,A18,ASIS_Detalle!$D$2:$D$226,"&lt;&gt;")</f>
        <v>15</v>
      </c>
      <c r="D18" s="5">
        <f>SUMIFS(ASIS_Detalle!$E$2:$E$226,ASIS_Detalle!$A$2:$A$226,A18)</f>
        <v>12</v>
      </c>
      <c r="E18" s="6">
        <f t="shared" si="0"/>
        <v>80</v>
      </c>
      <c r="F18" s="5">
        <f>COUNTIFS(ASIS_Detalle!$A$2:$A$226,A18,ASIS_Detalle!$F$2:$F$226,"&gt;0")</f>
        <v>15</v>
      </c>
      <c r="G18" s="6">
        <f>IF(F18=0,"",SUMIFS(ASIS_Detalle!$F$2:$F$226,ASIS_Detalle!$A$2:$A$226,A18)/F18)</f>
        <v>2.6519999999999997</v>
      </c>
      <c r="H18" s="5" t="str">
        <f t="shared" si="1"/>
        <v>COMPLETO</v>
      </c>
    </row>
    <row r="19" spans="1:8" ht="15">
      <c r="A19" s="5">
        <v>15</v>
      </c>
      <c r="B19" s="5">
        <v>15</v>
      </c>
      <c r="C19" s="5">
        <f>COUNTIFS(ASIS_Detalle!$A$2:$A$226,A19,ASIS_Detalle!$D$2:$D$226,"&lt;&gt;")</f>
        <v>15</v>
      </c>
      <c r="D19" s="5">
        <f>SUMIFS(ASIS_Detalle!$E$2:$E$226,ASIS_Detalle!$A$2:$A$226,A19)</f>
        <v>13</v>
      </c>
      <c r="E19" s="6">
        <f t="shared" si="0"/>
        <v>86.666666666666671</v>
      </c>
      <c r="F19" s="5">
        <f>COUNTIFS(ASIS_Detalle!$A$2:$A$226,A19,ASIS_Detalle!$F$2:$F$226,"&gt;0")</f>
        <v>15</v>
      </c>
      <c r="G19" s="6">
        <f>IF(F19=0,"",SUMIFS(ASIS_Detalle!$F$2:$F$226,ASIS_Detalle!$A$2:$A$226,A19)/F19)</f>
        <v>2.5573333333333332</v>
      </c>
      <c r="H19" s="5" t="str">
        <f t="shared" si="1"/>
        <v>COMPLETO</v>
      </c>
    </row>
    <row r="20" spans="1:8" ht="15">
      <c r="A20" s="17"/>
      <c r="B20" s="17"/>
      <c r="C20" s="17"/>
      <c r="D20" s="17"/>
      <c r="E20" s="18"/>
      <c r="F20" s="17"/>
      <c r="G20" s="18"/>
      <c r="H20" s="17"/>
    </row>
    <row r="21" spans="1:8" ht="15">
      <c r="A21" s="19" t="s">
        <v>43</v>
      </c>
      <c r="B21" s="19">
        <v>225</v>
      </c>
      <c r="C21" s="19">
        <f>SUM(C5:C19)</f>
        <v>225</v>
      </c>
      <c r="D21" s="19">
        <f>SUM(D5:D19)</f>
        <v>182</v>
      </c>
      <c r="E21" s="20">
        <f>IF(C21=0,"",D21/C21*100)</f>
        <v>80.888888888888886</v>
      </c>
      <c r="F21" s="19">
        <f>SUM(F5:F19)</f>
        <v>225</v>
      </c>
      <c r="G21" s="20">
        <f>IF(F21=0,"",SUM(ASIS_Detalle!$F$2:$F$226)/F21)</f>
        <v>2.484666666666667</v>
      </c>
      <c r="H21" s="19" t="str">
        <f>IF(AND(C21=225,F21=225),"LISTO PARA ANALIZAR","RECOLECCIÓN EN CURSO")</f>
        <v>LISTO PARA ANALIZAR</v>
      </c>
    </row>
    <row r="22" spans="1:8" ht="15">
      <c r="A22" s="14"/>
      <c r="B22" s="14"/>
      <c r="C22" s="14"/>
      <c r="D22" s="14"/>
      <c r="E22" s="14"/>
      <c r="F22" s="14"/>
      <c r="G22" s="14"/>
      <c r="H22" s="14"/>
    </row>
    <row r="23" spans="1:8" ht="15">
      <c r="A23" s="14"/>
      <c r="B23" s="14"/>
      <c r="C23" s="14"/>
      <c r="D23" s="14"/>
      <c r="E23" s="14"/>
      <c r="F23" s="14"/>
      <c r="G23" s="14"/>
      <c r="H23" s="14"/>
    </row>
    <row r="24" spans="1:8" ht="15">
      <c r="A24" s="28" t="s">
        <v>44</v>
      </c>
      <c r="B24" s="28"/>
      <c r="C24" s="28"/>
      <c r="D24" s="28"/>
      <c r="E24" s="28"/>
      <c r="F24" s="28"/>
      <c r="G24" s="28"/>
      <c r="H24" s="28"/>
    </row>
    <row r="25" spans="1:8" ht="15">
      <c r="A25" s="15" t="s">
        <v>45</v>
      </c>
      <c r="B25" s="15" t="s">
        <v>46</v>
      </c>
      <c r="C25" s="14"/>
      <c r="D25" s="14"/>
      <c r="E25" s="14"/>
      <c r="F25" s="14"/>
      <c r="G25" s="14"/>
      <c r="H25" s="14"/>
    </row>
    <row r="26" spans="1:8" ht="15">
      <c r="A26" s="5" t="s">
        <v>47</v>
      </c>
      <c r="B26" s="5">
        <f>COUNTIF(ASIS_Detalle!$H$2:$H$226,"OK")</f>
        <v>225</v>
      </c>
      <c r="C26" s="14"/>
      <c r="D26" s="14"/>
      <c r="E26" s="14"/>
      <c r="F26" s="14"/>
      <c r="G26" s="14"/>
      <c r="H26" s="14"/>
    </row>
    <row r="27" spans="1:8" ht="15">
      <c r="A27" s="5" t="s">
        <v>48</v>
      </c>
      <c r="B27" s="5">
        <f>COUNTIF(ASIS_Detalle!$H$2:$H$226,"PENDIENTE")</f>
        <v>0</v>
      </c>
      <c r="C27" s="14"/>
      <c r="D27" s="14"/>
      <c r="E27" s="14"/>
      <c r="F27" s="14"/>
      <c r="G27" s="14"/>
      <c r="H27" s="14"/>
    </row>
    <row r="28" spans="1:8" ht="15">
      <c r="A28" s="5" t="s">
        <v>49</v>
      </c>
      <c r="B28" s="5">
        <f>COUNTIF(H5:H19,"COMPLETO")</f>
        <v>15</v>
      </c>
      <c r="C28" s="14"/>
      <c r="D28" s="14"/>
      <c r="E28" s="14"/>
      <c r="F28" s="14"/>
      <c r="G28" s="14"/>
      <c r="H28" s="14"/>
    </row>
    <row r="29" spans="1:8" ht="15">
      <c r="A29" s="5" t="s">
        <v>50</v>
      </c>
      <c r="B29" s="6">
        <f>IF(E21="","",E21)</f>
        <v>80.888888888888886</v>
      </c>
      <c r="C29" s="14"/>
      <c r="D29" s="14"/>
      <c r="E29" s="14"/>
      <c r="F29" s="14"/>
      <c r="G29" s="14"/>
      <c r="H29" s="14"/>
    </row>
  </sheetData>
  <mergeCells count="2">
    <mergeCell ref="A24:H24"/>
    <mergeCell ref="A1:H2"/>
  </mergeCells>
  <conditionalFormatting sqref="H5:H21">
    <cfRule type="expression" dxfId="24" priority="1">
      <formula>H5="COMPLETO"</formula>
    </cfRule>
    <cfRule type="expression" dxfId="23" priority="2">
      <formula>OR(H5="PENDIENTE",H5="INCOMPLETO")</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2"/>
  <sheetViews>
    <sheetView tabSelected="1" topLeftCell="A10" workbookViewId="0">
      <selection activeCell="F29" sqref="F29"/>
    </sheetView>
  </sheetViews>
  <sheetFormatPr baseColWidth="10" defaultColWidth="9" defaultRowHeight="14.25"/>
  <cols>
    <col min="1" max="1" width="12" customWidth="1"/>
    <col min="2" max="2" width="10" customWidth="1"/>
    <col min="3" max="6" width="14" customWidth="1"/>
    <col min="7" max="7" width="20" customWidth="1"/>
    <col min="10" max="10" width="12" customWidth="1"/>
    <col min="11" max="11" width="14.125" bestFit="1" customWidth="1"/>
    <col min="12" max="12" width="12" customWidth="1"/>
  </cols>
  <sheetData>
    <row r="1" spans="1:26" ht="19.5">
      <c r="A1" s="35" t="s">
        <v>51</v>
      </c>
      <c r="B1" s="35"/>
      <c r="C1" s="35"/>
      <c r="D1" s="35"/>
      <c r="E1" s="35"/>
      <c r="F1" s="35"/>
      <c r="G1" s="35"/>
      <c r="H1" s="36"/>
      <c r="I1" s="21"/>
      <c r="J1" s="21"/>
      <c r="K1" s="21"/>
      <c r="L1" s="21"/>
      <c r="M1" s="21"/>
      <c r="N1" s="21"/>
      <c r="O1" s="21"/>
      <c r="P1" s="21"/>
      <c r="Q1" s="21"/>
      <c r="R1" s="21"/>
      <c r="S1" s="21"/>
      <c r="T1" s="21"/>
      <c r="U1" s="21"/>
      <c r="V1" s="21"/>
      <c r="W1" s="21"/>
      <c r="X1" s="21"/>
      <c r="Y1" s="21"/>
      <c r="Z1" s="21"/>
    </row>
    <row r="2" spans="1:26" ht="15">
      <c r="A2" s="37" t="s">
        <v>52</v>
      </c>
      <c r="B2" s="37"/>
      <c r="C2" s="37"/>
      <c r="D2" s="37"/>
      <c r="E2" s="37"/>
      <c r="F2" s="37"/>
      <c r="G2" s="37"/>
      <c r="H2" s="38"/>
      <c r="I2" s="21"/>
      <c r="J2" s="21"/>
      <c r="K2" s="21"/>
      <c r="L2" s="21"/>
      <c r="M2" s="21"/>
      <c r="N2" s="21"/>
      <c r="O2" s="21"/>
      <c r="P2" s="21"/>
      <c r="Q2" s="21"/>
      <c r="R2" s="21"/>
      <c r="S2" s="21"/>
      <c r="T2" s="21"/>
      <c r="U2" s="21"/>
      <c r="V2" s="21"/>
      <c r="W2" s="21"/>
      <c r="X2" s="21"/>
      <c r="Y2" s="21"/>
      <c r="Z2" s="21"/>
    </row>
    <row r="3" spans="1:26" ht="15">
      <c r="A3" s="12"/>
      <c r="B3" s="12"/>
      <c r="C3" s="12"/>
      <c r="D3" s="12"/>
      <c r="E3" s="12"/>
      <c r="F3" s="12"/>
      <c r="G3" s="12"/>
      <c r="H3" s="21"/>
      <c r="I3" s="21"/>
      <c r="J3" s="21"/>
      <c r="K3" s="21"/>
      <c r="L3" s="21"/>
      <c r="M3" s="21"/>
      <c r="N3" s="21"/>
      <c r="O3" s="21"/>
      <c r="P3" s="21"/>
      <c r="Q3" s="21"/>
      <c r="R3" s="21"/>
      <c r="S3" s="21"/>
      <c r="T3" s="21"/>
      <c r="U3" s="21"/>
      <c r="V3" s="21"/>
      <c r="W3" s="21"/>
      <c r="X3" s="21"/>
      <c r="Y3" s="21"/>
      <c r="Z3" s="21"/>
    </row>
    <row r="4" spans="1:26" ht="15">
      <c r="A4" s="1" t="s">
        <v>4</v>
      </c>
      <c r="B4" s="2" t="s">
        <v>53</v>
      </c>
      <c r="C4" s="2" t="s">
        <v>54</v>
      </c>
      <c r="D4" s="2" t="s">
        <v>55</v>
      </c>
      <c r="E4" s="2" t="s">
        <v>39</v>
      </c>
      <c r="F4" s="2" t="s">
        <v>56</v>
      </c>
      <c r="G4" s="3" t="s">
        <v>57</v>
      </c>
      <c r="H4" s="21"/>
      <c r="I4" s="21"/>
      <c r="J4" s="22" t="s">
        <v>4</v>
      </c>
      <c r="K4" s="22" t="s">
        <v>55</v>
      </c>
      <c r="L4" s="22" t="s">
        <v>39</v>
      </c>
      <c r="M4" s="21"/>
      <c r="N4" s="21"/>
      <c r="O4" s="21"/>
      <c r="P4" s="21"/>
      <c r="Q4" s="21"/>
      <c r="R4" s="21"/>
      <c r="S4" s="21"/>
      <c r="T4" s="21"/>
      <c r="U4" s="21"/>
      <c r="V4" s="21"/>
      <c r="W4" s="21"/>
      <c r="X4" s="21"/>
      <c r="Y4" s="21"/>
      <c r="Z4" s="21"/>
    </row>
    <row r="5" spans="1:26" ht="15">
      <c r="A5" s="4">
        <v>1</v>
      </c>
      <c r="B5" s="5">
        <v>15</v>
      </c>
      <c r="C5" s="5">
        <v>12</v>
      </c>
      <c r="D5" s="6">
        <v>80</v>
      </c>
      <c r="E5" s="6">
        <f>IF(Resumen_ASIS!E5="","",Resumen_ASIS!E5)</f>
        <v>73.333333333333329</v>
      </c>
      <c r="F5" s="6">
        <f t="shared" ref="F5:F19" si="0">IF(E5="","",D5-E5)</f>
        <v>6.6666666666666714</v>
      </c>
      <c r="G5" s="7" t="str">
        <f t="shared" ref="G5:G19" si="1">IF(F5="","",IF(F5&gt;0,"TOBE mayor",IF(F5&lt;0,"ASIS mayor","Sin diferencia")))</f>
        <v>TOBE mayor</v>
      </c>
      <c r="H5" s="21"/>
      <c r="I5" s="21"/>
      <c r="J5" s="23">
        <v>1</v>
      </c>
      <c r="K5" s="24">
        <f t="shared" ref="K5:K19" si="2">D5</f>
        <v>80</v>
      </c>
      <c r="L5" s="24">
        <f t="shared" ref="L5:L19" si="3">E5</f>
        <v>73.333333333333329</v>
      </c>
      <c r="M5" s="21"/>
      <c r="N5" s="21"/>
      <c r="O5" s="21"/>
      <c r="P5" s="21"/>
      <c r="Q5" s="21"/>
      <c r="R5" s="21"/>
      <c r="S5" s="21"/>
      <c r="T5" s="21"/>
      <c r="U5" s="21"/>
      <c r="V5" s="21"/>
      <c r="W5" s="21"/>
      <c r="X5" s="21"/>
      <c r="Y5" s="21"/>
      <c r="Z5" s="21"/>
    </row>
    <row r="6" spans="1:26" ht="15">
      <c r="A6" s="4">
        <v>2</v>
      </c>
      <c r="B6" s="5">
        <v>15</v>
      </c>
      <c r="C6" s="5">
        <v>12</v>
      </c>
      <c r="D6" s="6">
        <v>80</v>
      </c>
      <c r="E6" s="6">
        <f>IF(Resumen_ASIS!E6="","",Resumen_ASIS!E6)</f>
        <v>86.666666666666671</v>
      </c>
      <c r="F6" s="6">
        <f t="shared" si="0"/>
        <v>-6.6666666666666714</v>
      </c>
      <c r="G6" s="7" t="str">
        <f t="shared" si="1"/>
        <v>ASIS mayor</v>
      </c>
      <c r="H6" s="21"/>
      <c r="I6" s="21"/>
      <c r="J6" s="23">
        <v>2</v>
      </c>
      <c r="K6" s="24">
        <f t="shared" si="2"/>
        <v>80</v>
      </c>
      <c r="L6" s="24">
        <f t="shared" si="3"/>
        <v>86.666666666666671</v>
      </c>
      <c r="M6" s="21"/>
      <c r="N6" s="21"/>
      <c r="O6" s="21"/>
      <c r="P6" s="21"/>
      <c r="Q6" s="21"/>
      <c r="R6" s="21"/>
      <c r="S6" s="21"/>
      <c r="T6" s="21"/>
      <c r="U6" s="21"/>
      <c r="V6" s="21"/>
      <c r="W6" s="21"/>
      <c r="X6" s="21"/>
      <c r="Y6" s="21"/>
      <c r="Z6" s="21"/>
    </row>
    <row r="7" spans="1:26" ht="15">
      <c r="A7" s="4">
        <v>3</v>
      </c>
      <c r="B7" s="5">
        <v>15</v>
      </c>
      <c r="C7" s="5">
        <v>12</v>
      </c>
      <c r="D7" s="6">
        <v>80</v>
      </c>
      <c r="E7" s="6">
        <f>IF(Resumen_ASIS!E7="","",Resumen_ASIS!E7)</f>
        <v>73.333333333333329</v>
      </c>
      <c r="F7" s="6">
        <f t="shared" si="0"/>
        <v>6.6666666666666714</v>
      </c>
      <c r="G7" s="7" t="str">
        <f t="shared" si="1"/>
        <v>TOBE mayor</v>
      </c>
      <c r="H7" s="21"/>
      <c r="I7" s="21"/>
      <c r="J7" s="23">
        <v>3</v>
      </c>
      <c r="K7" s="24">
        <f t="shared" si="2"/>
        <v>80</v>
      </c>
      <c r="L7" s="24">
        <f t="shared" si="3"/>
        <v>73.333333333333329</v>
      </c>
      <c r="M7" s="21"/>
      <c r="N7" s="21"/>
      <c r="O7" s="21"/>
      <c r="P7" s="21"/>
      <c r="Q7" s="21"/>
      <c r="R7" s="21"/>
      <c r="S7" s="21"/>
      <c r="T7" s="21"/>
      <c r="U7" s="21"/>
      <c r="V7" s="21"/>
      <c r="W7" s="21"/>
      <c r="X7" s="21"/>
      <c r="Y7" s="21"/>
      <c r="Z7" s="21"/>
    </row>
    <row r="8" spans="1:26" ht="15">
      <c r="A8" s="4">
        <v>4</v>
      </c>
      <c r="B8" s="5">
        <v>15</v>
      </c>
      <c r="C8" s="5">
        <v>14</v>
      </c>
      <c r="D8" s="6">
        <v>93.333333333333329</v>
      </c>
      <c r="E8" s="6">
        <f>IF(Resumen_ASIS!E8="","",Resumen_ASIS!E8)</f>
        <v>73.333333333333329</v>
      </c>
      <c r="F8" s="6">
        <f t="shared" si="0"/>
        <v>20</v>
      </c>
      <c r="G8" s="7" t="str">
        <f t="shared" si="1"/>
        <v>TOBE mayor</v>
      </c>
      <c r="H8" s="21"/>
      <c r="I8" s="21"/>
      <c r="J8" s="23">
        <v>4</v>
      </c>
      <c r="K8" s="24">
        <f t="shared" si="2"/>
        <v>93.333333333333329</v>
      </c>
      <c r="L8" s="24">
        <f t="shared" si="3"/>
        <v>73.333333333333329</v>
      </c>
      <c r="M8" s="21"/>
      <c r="N8" s="21"/>
      <c r="O8" s="21"/>
      <c r="P8" s="21"/>
      <c r="Q8" s="21"/>
      <c r="R8" s="21"/>
      <c r="S8" s="21"/>
      <c r="T8" s="21"/>
      <c r="U8" s="21"/>
      <c r="V8" s="21"/>
      <c r="W8" s="21"/>
      <c r="X8" s="21"/>
      <c r="Y8" s="21"/>
      <c r="Z8" s="21"/>
    </row>
    <row r="9" spans="1:26" ht="15">
      <c r="A9" s="4">
        <v>5</v>
      </c>
      <c r="B9" s="5">
        <v>15</v>
      </c>
      <c r="C9" s="5">
        <v>13</v>
      </c>
      <c r="D9" s="6">
        <v>86.666666666666671</v>
      </c>
      <c r="E9" s="6">
        <f>IF(Resumen_ASIS!E9="","",Resumen_ASIS!E9)</f>
        <v>80</v>
      </c>
      <c r="F9" s="6">
        <f t="shared" si="0"/>
        <v>6.6666666666666714</v>
      </c>
      <c r="G9" s="7" t="str">
        <f t="shared" si="1"/>
        <v>TOBE mayor</v>
      </c>
      <c r="H9" s="21"/>
      <c r="I9" s="21"/>
      <c r="J9" s="23">
        <v>5</v>
      </c>
      <c r="K9" s="24">
        <f t="shared" si="2"/>
        <v>86.666666666666671</v>
      </c>
      <c r="L9" s="24">
        <f t="shared" si="3"/>
        <v>80</v>
      </c>
      <c r="M9" s="21"/>
      <c r="N9" s="21"/>
      <c r="O9" s="21"/>
      <c r="P9" s="21"/>
      <c r="Q9" s="21"/>
      <c r="R9" s="21"/>
      <c r="S9" s="21"/>
      <c r="T9" s="21"/>
      <c r="U9" s="21"/>
      <c r="V9" s="21"/>
      <c r="W9" s="21"/>
      <c r="X9" s="21"/>
      <c r="Y9" s="21"/>
      <c r="Z9" s="21"/>
    </row>
    <row r="10" spans="1:26" ht="15">
      <c r="A10" s="4">
        <v>6</v>
      </c>
      <c r="B10" s="5">
        <v>15</v>
      </c>
      <c r="C10" s="5">
        <v>10</v>
      </c>
      <c r="D10" s="6">
        <v>66.666666666666657</v>
      </c>
      <c r="E10" s="6">
        <f>IF(Resumen_ASIS!E10="","",Resumen_ASIS!E10)</f>
        <v>73.333333333333329</v>
      </c>
      <c r="F10" s="6">
        <f t="shared" si="0"/>
        <v>-6.6666666666666714</v>
      </c>
      <c r="G10" s="7" t="str">
        <f t="shared" si="1"/>
        <v>ASIS mayor</v>
      </c>
      <c r="H10" s="21"/>
      <c r="I10" s="21"/>
      <c r="J10" s="23">
        <v>6</v>
      </c>
      <c r="K10" s="24">
        <f t="shared" si="2"/>
        <v>66.666666666666657</v>
      </c>
      <c r="L10" s="24">
        <f t="shared" si="3"/>
        <v>73.333333333333329</v>
      </c>
      <c r="M10" s="21"/>
      <c r="N10" s="21"/>
      <c r="O10" s="21"/>
      <c r="P10" s="21"/>
      <c r="Q10" s="21"/>
      <c r="R10" s="21"/>
      <c r="S10" s="21"/>
      <c r="T10" s="21"/>
      <c r="U10" s="21"/>
      <c r="V10" s="21"/>
      <c r="W10" s="21"/>
      <c r="X10" s="21"/>
      <c r="Y10" s="21"/>
      <c r="Z10" s="21"/>
    </row>
    <row r="11" spans="1:26" ht="15">
      <c r="A11" s="4">
        <v>7</v>
      </c>
      <c r="B11" s="5">
        <v>15</v>
      </c>
      <c r="C11" s="5">
        <v>11</v>
      </c>
      <c r="D11" s="6">
        <v>73.333333333333329</v>
      </c>
      <c r="E11" s="6">
        <f>IF(Resumen_ASIS!E11="","",Resumen_ASIS!E11)</f>
        <v>66.666666666666657</v>
      </c>
      <c r="F11" s="6">
        <f t="shared" si="0"/>
        <v>6.6666666666666714</v>
      </c>
      <c r="G11" s="7" t="str">
        <f t="shared" si="1"/>
        <v>TOBE mayor</v>
      </c>
      <c r="H11" s="21"/>
      <c r="I11" s="21"/>
      <c r="J11" s="23">
        <v>7</v>
      </c>
      <c r="K11" s="24">
        <f t="shared" si="2"/>
        <v>73.333333333333329</v>
      </c>
      <c r="L11" s="24">
        <f t="shared" si="3"/>
        <v>66.666666666666657</v>
      </c>
      <c r="M11" s="21"/>
      <c r="N11" s="21"/>
      <c r="O11" s="21"/>
      <c r="P11" s="21"/>
      <c r="Q11" s="21"/>
      <c r="R11" s="21"/>
      <c r="S11" s="21"/>
      <c r="T11" s="21"/>
      <c r="U11" s="21"/>
      <c r="V11" s="21"/>
      <c r="W11" s="21"/>
      <c r="X11" s="21"/>
      <c r="Y11" s="21"/>
      <c r="Z11" s="21"/>
    </row>
    <row r="12" spans="1:26" ht="15">
      <c r="A12" s="4">
        <v>8</v>
      </c>
      <c r="B12" s="5">
        <v>15</v>
      </c>
      <c r="C12" s="5">
        <v>14</v>
      </c>
      <c r="D12" s="6">
        <v>93.333333333333329</v>
      </c>
      <c r="E12" s="6">
        <f>IF(Resumen_ASIS!E12="","",Resumen_ASIS!E12)</f>
        <v>80</v>
      </c>
      <c r="F12" s="6">
        <f t="shared" si="0"/>
        <v>13.333333333333329</v>
      </c>
      <c r="G12" s="7" t="str">
        <f t="shared" si="1"/>
        <v>TOBE mayor</v>
      </c>
      <c r="H12" s="21"/>
      <c r="I12" s="21"/>
      <c r="J12" s="23">
        <v>8</v>
      </c>
      <c r="K12" s="24">
        <f t="shared" si="2"/>
        <v>93.333333333333329</v>
      </c>
      <c r="L12" s="24">
        <f t="shared" si="3"/>
        <v>80</v>
      </c>
      <c r="M12" s="21"/>
      <c r="N12" s="21"/>
      <c r="O12" s="21"/>
      <c r="P12" s="21"/>
      <c r="Q12" s="21"/>
      <c r="R12" s="21"/>
      <c r="S12" s="21"/>
      <c r="T12" s="21"/>
      <c r="U12" s="21"/>
      <c r="V12" s="21"/>
      <c r="W12" s="21"/>
      <c r="X12" s="21"/>
      <c r="Y12" s="21"/>
      <c r="Z12" s="21"/>
    </row>
    <row r="13" spans="1:26" ht="15">
      <c r="A13" s="4">
        <v>9</v>
      </c>
      <c r="B13" s="5">
        <v>15</v>
      </c>
      <c r="C13" s="5">
        <v>15</v>
      </c>
      <c r="D13" s="6">
        <v>100</v>
      </c>
      <c r="E13" s="6">
        <f>IF(Resumen_ASIS!E13="","",Resumen_ASIS!E13)</f>
        <v>86.666666666666671</v>
      </c>
      <c r="F13" s="6">
        <f t="shared" si="0"/>
        <v>13.333333333333329</v>
      </c>
      <c r="G13" s="7" t="str">
        <f t="shared" si="1"/>
        <v>TOBE mayor</v>
      </c>
      <c r="H13" s="21"/>
      <c r="I13" s="21"/>
      <c r="J13" s="23">
        <v>9</v>
      </c>
      <c r="K13" s="24">
        <f t="shared" si="2"/>
        <v>100</v>
      </c>
      <c r="L13" s="24">
        <f t="shared" si="3"/>
        <v>86.666666666666671</v>
      </c>
      <c r="M13" s="21"/>
      <c r="N13" s="21"/>
      <c r="O13" s="21"/>
      <c r="P13" s="21"/>
      <c r="Q13" s="21"/>
      <c r="R13" s="21"/>
      <c r="S13" s="21"/>
      <c r="T13" s="21"/>
      <c r="U13" s="21"/>
      <c r="V13" s="21"/>
      <c r="W13" s="21"/>
      <c r="X13" s="21"/>
      <c r="Y13" s="21"/>
      <c r="Z13" s="21"/>
    </row>
    <row r="14" spans="1:26" ht="15">
      <c r="A14" s="4">
        <v>10</v>
      </c>
      <c r="B14" s="5">
        <v>15</v>
      </c>
      <c r="C14" s="5">
        <v>12</v>
      </c>
      <c r="D14" s="6">
        <v>80</v>
      </c>
      <c r="E14" s="6">
        <f>IF(Resumen_ASIS!E14="","",Resumen_ASIS!E14)</f>
        <v>80</v>
      </c>
      <c r="F14" s="6">
        <f t="shared" si="0"/>
        <v>0</v>
      </c>
      <c r="G14" s="7" t="str">
        <f t="shared" si="1"/>
        <v>Sin diferencia</v>
      </c>
      <c r="H14" s="21"/>
      <c r="I14" s="21"/>
      <c r="J14" s="23">
        <v>10</v>
      </c>
      <c r="K14" s="24">
        <f t="shared" si="2"/>
        <v>80</v>
      </c>
      <c r="L14" s="24">
        <f t="shared" si="3"/>
        <v>80</v>
      </c>
      <c r="M14" s="21"/>
      <c r="N14" s="21"/>
      <c r="O14" s="21"/>
      <c r="P14" s="21"/>
      <c r="Q14" s="21"/>
      <c r="R14" s="21"/>
      <c r="S14" s="21"/>
      <c r="T14" s="21"/>
      <c r="U14" s="21"/>
      <c r="V14" s="21"/>
      <c r="W14" s="21"/>
      <c r="X14" s="21"/>
      <c r="Y14" s="21"/>
      <c r="Z14" s="21"/>
    </row>
    <row r="15" spans="1:26" ht="15">
      <c r="A15" s="4">
        <v>11</v>
      </c>
      <c r="B15" s="5">
        <v>15</v>
      </c>
      <c r="C15" s="5">
        <v>13</v>
      </c>
      <c r="D15" s="6">
        <v>86.666666666666671</v>
      </c>
      <c r="E15" s="6">
        <f>IF(Resumen_ASIS!E15="","",Resumen_ASIS!E15)</f>
        <v>100</v>
      </c>
      <c r="F15" s="6">
        <f t="shared" si="0"/>
        <v>-13.333333333333329</v>
      </c>
      <c r="G15" s="7" t="str">
        <f t="shared" si="1"/>
        <v>ASIS mayor</v>
      </c>
      <c r="H15" s="21"/>
      <c r="I15" s="21"/>
      <c r="J15" s="23">
        <v>11</v>
      </c>
      <c r="K15" s="24">
        <f t="shared" si="2"/>
        <v>86.666666666666671</v>
      </c>
      <c r="L15" s="24">
        <f t="shared" si="3"/>
        <v>100</v>
      </c>
      <c r="M15" s="21"/>
      <c r="N15" s="21"/>
      <c r="O15" s="21"/>
      <c r="P15" s="21"/>
      <c r="Q15" s="21"/>
      <c r="R15" s="21"/>
      <c r="S15" s="21"/>
      <c r="T15" s="21"/>
      <c r="U15" s="21"/>
      <c r="V15" s="21"/>
      <c r="W15" s="21"/>
      <c r="X15" s="21"/>
      <c r="Y15" s="21"/>
      <c r="Z15" s="21"/>
    </row>
    <row r="16" spans="1:26" ht="15">
      <c r="A16" s="4">
        <v>12</v>
      </c>
      <c r="B16" s="5">
        <v>15</v>
      </c>
      <c r="C16" s="5">
        <v>13</v>
      </c>
      <c r="D16" s="6">
        <v>86.666666666666671</v>
      </c>
      <c r="E16" s="6">
        <f>IF(Resumen_ASIS!E16="","",Resumen_ASIS!E16)</f>
        <v>93.333333333333329</v>
      </c>
      <c r="F16" s="6">
        <f t="shared" si="0"/>
        <v>-6.6666666666666572</v>
      </c>
      <c r="G16" s="7" t="str">
        <f t="shared" si="1"/>
        <v>ASIS mayor</v>
      </c>
      <c r="H16" s="21"/>
      <c r="I16" s="21"/>
      <c r="J16" s="23">
        <v>12</v>
      </c>
      <c r="K16" s="24">
        <f t="shared" si="2"/>
        <v>86.666666666666671</v>
      </c>
      <c r="L16" s="24">
        <f t="shared" si="3"/>
        <v>93.333333333333329</v>
      </c>
      <c r="M16" s="21"/>
      <c r="N16" s="21"/>
      <c r="O16" s="21"/>
      <c r="P16" s="21"/>
      <c r="Q16" s="21"/>
      <c r="R16" s="21"/>
      <c r="S16" s="21"/>
      <c r="T16" s="21"/>
      <c r="U16" s="21"/>
      <c r="V16" s="21"/>
      <c r="W16" s="21"/>
      <c r="X16" s="21"/>
      <c r="Y16" s="21"/>
      <c r="Z16" s="21"/>
    </row>
    <row r="17" spans="1:26" ht="15">
      <c r="A17" s="4">
        <v>13</v>
      </c>
      <c r="B17" s="5">
        <v>15</v>
      </c>
      <c r="C17" s="5">
        <v>9</v>
      </c>
      <c r="D17" s="6">
        <v>60</v>
      </c>
      <c r="E17" s="6">
        <f>IF(Resumen_ASIS!E17="","",Resumen_ASIS!E17)</f>
        <v>80</v>
      </c>
      <c r="F17" s="6">
        <f t="shared" si="0"/>
        <v>-20</v>
      </c>
      <c r="G17" s="7" t="str">
        <f t="shared" si="1"/>
        <v>ASIS mayor</v>
      </c>
      <c r="H17" s="21"/>
      <c r="I17" s="21"/>
      <c r="J17" s="23">
        <v>13</v>
      </c>
      <c r="K17" s="24">
        <f t="shared" si="2"/>
        <v>60</v>
      </c>
      <c r="L17" s="24">
        <f t="shared" si="3"/>
        <v>80</v>
      </c>
      <c r="M17" s="21"/>
      <c r="N17" s="21"/>
      <c r="O17" s="21"/>
      <c r="P17" s="21"/>
      <c r="Q17" s="21"/>
      <c r="R17" s="21"/>
      <c r="S17" s="21"/>
      <c r="T17" s="21"/>
      <c r="U17" s="21"/>
      <c r="V17" s="21"/>
      <c r="W17" s="21"/>
      <c r="X17" s="21"/>
      <c r="Y17" s="21"/>
      <c r="Z17" s="21"/>
    </row>
    <row r="18" spans="1:26" ht="15">
      <c r="A18" s="4">
        <v>14</v>
      </c>
      <c r="B18" s="5">
        <v>15</v>
      </c>
      <c r="C18" s="5">
        <v>11</v>
      </c>
      <c r="D18" s="6">
        <v>73.333333333333329</v>
      </c>
      <c r="E18" s="6">
        <f>IF(Resumen_ASIS!E18="","",Resumen_ASIS!E18)</f>
        <v>80</v>
      </c>
      <c r="F18" s="6">
        <f t="shared" si="0"/>
        <v>-6.6666666666666714</v>
      </c>
      <c r="G18" s="7" t="str">
        <f t="shared" si="1"/>
        <v>ASIS mayor</v>
      </c>
      <c r="H18" s="21"/>
      <c r="I18" s="21"/>
      <c r="J18" s="23">
        <v>14</v>
      </c>
      <c r="K18" s="24">
        <f t="shared" si="2"/>
        <v>73.333333333333329</v>
      </c>
      <c r="L18" s="24">
        <f t="shared" si="3"/>
        <v>80</v>
      </c>
      <c r="M18" s="21"/>
      <c r="N18" s="21"/>
      <c r="O18" s="21"/>
      <c r="P18" s="21"/>
      <c r="Q18" s="21"/>
      <c r="R18" s="21"/>
      <c r="S18" s="21"/>
      <c r="T18" s="21"/>
      <c r="U18" s="21"/>
      <c r="V18" s="21"/>
      <c r="W18" s="21"/>
      <c r="X18" s="21"/>
      <c r="Y18" s="21"/>
      <c r="Z18" s="21"/>
    </row>
    <row r="19" spans="1:26" ht="15">
      <c r="A19" s="8">
        <v>15</v>
      </c>
      <c r="B19" s="9">
        <v>15</v>
      </c>
      <c r="C19" s="9">
        <v>13</v>
      </c>
      <c r="D19" s="10">
        <v>86.666666666666671</v>
      </c>
      <c r="E19" s="10">
        <f>IF(Resumen_ASIS!E19="","",Resumen_ASIS!E19)</f>
        <v>86.666666666666671</v>
      </c>
      <c r="F19" s="10">
        <f t="shared" si="0"/>
        <v>0</v>
      </c>
      <c r="G19" s="11" t="str">
        <f t="shared" si="1"/>
        <v>Sin diferencia</v>
      </c>
      <c r="H19" s="21"/>
      <c r="I19" s="21"/>
      <c r="J19" s="23">
        <v>15</v>
      </c>
      <c r="K19" s="24">
        <f t="shared" si="2"/>
        <v>86.666666666666671</v>
      </c>
      <c r="L19" s="24">
        <f t="shared" si="3"/>
        <v>86.666666666666671</v>
      </c>
      <c r="M19" s="21"/>
      <c r="N19" s="21"/>
      <c r="O19" s="21"/>
      <c r="P19" s="21"/>
      <c r="Q19" s="21"/>
      <c r="R19" s="21"/>
      <c r="S19" s="21"/>
      <c r="T19" s="21"/>
      <c r="U19" s="21"/>
      <c r="V19" s="21"/>
      <c r="W19" s="21"/>
      <c r="X19" s="21"/>
      <c r="Y19" s="21"/>
      <c r="Z19" s="21"/>
    </row>
    <row r="20" spans="1:26" ht="15">
      <c r="A20" s="12"/>
      <c r="B20" s="12"/>
      <c r="C20" s="12"/>
      <c r="D20" s="13"/>
      <c r="E20" s="13"/>
      <c r="F20" s="13"/>
      <c r="G20" s="12"/>
      <c r="H20" s="21"/>
      <c r="I20" s="21"/>
      <c r="J20" s="21"/>
      <c r="K20" s="21"/>
      <c r="L20" s="21"/>
      <c r="M20" s="21"/>
      <c r="N20" s="21"/>
      <c r="O20" s="21"/>
      <c r="P20" s="21"/>
      <c r="Q20" s="21"/>
      <c r="R20" s="21"/>
      <c r="S20" s="21"/>
      <c r="T20" s="21"/>
      <c r="U20" s="21"/>
      <c r="V20" s="21"/>
      <c r="W20" s="21"/>
      <c r="X20" s="21"/>
      <c r="Y20" s="21"/>
      <c r="Z20" s="21"/>
    </row>
    <row r="21" spans="1:26" ht="15">
      <c r="A21" s="19" t="s">
        <v>43</v>
      </c>
      <c r="B21" s="19">
        <v>225</v>
      </c>
      <c r="C21" s="19">
        <v>184</v>
      </c>
      <c r="D21" s="20">
        <v>81.777777777777786</v>
      </c>
      <c r="E21" s="20">
        <f>IF(Resumen_ASIS!E21="","",Resumen_ASIS!E21)</f>
        <v>80.888888888888886</v>
      </c>
      <c r="F21" s="20">
        <f>IF(E21="","",D21-E21)</f>
        <v>0.88888888888889994</v>
      </c>
      <c r="G21" s="19" t="str">
        <f>IF(F21="","",IF(F21&gt;0,"TOBE mayor",IF(F21&lt;0,"ASIS mayor","Sin diferencia")))</f>
        <v>TOBE mayor</v>
      </c>
      <c r="H21" s="21"/>
      <c r="I21" s="21"/>
      <c r="J21" s="21"/>
      <c r="K21" s="21"/>
      <c r="L21" s="21"/>
      <c r="M21" s="21"/>
      <c r="N21" s="21"/>
      <c r="O21" s="21"/>
      <c r="P21" s="21"/>
      <c r="Q21" s="21"/>
      <c r="R21" s="21"/>
      <c r="S21" s="21"/>
      <c r="T21" s="21"/>
      <c r="U21" s="21"/>
      <c r="V21" s="21"/>
      <c r="W21" s="21"/>
      <c r="X21" s="21"/>
      <c r="Y21" s="21"/>
      <c r="Z21" s="21"/>
    </row>
    <row r="22" spans="1:26" ht="15">
      <c r="A22" s="12"/>
      <c r="B22" s="12"/>
      <c r="C22" s="12"/>
      <c r="D22" s="12"/>
      <c r="E22" s="12"/>
      <c r="F22" s="12"/>
      <c r="G22" s="12"/>
      <c r="H22" s="21"/>
      <c r="I22" s="21"/>
      <c r="J22" s="21"/>
      <c r="K22" s="21"/>
      <c r="L22" s="21"/>
      <c r="M22" s="21"/>
      <c r="N22" s="21"/>
      <c r="O22" s="21"/>
      <c r="P22" s="21"/>
      <c r="Q22" s="21"/>
      <c r="R22" s="21"/>
      <c r="S22" s="21"/>
      <c r="T22" s="21"/>
      <c r="U22" s="21"/>
      <c r="V22" s="21"/>
      <c r="W22" s="21"/>
      <c r="X22" s="21"/>
      <c r="Y22" s="21"/>
      <c r="Z22" s="21"/>
    </row>
    <row r="23" spans="1:26" ht="15">
      <c r="A23" s="12"/>
      <c r="B23" s="12"/>
      <c r="C23" s="12"/>
      <c r="D23" s="12"/>
      <c r="E23" s="12"/>
      <c r="F23" s="12"/>
      <c r="G23" s="12"/>
      <c r="H23" s="21"/>
      <c r="I23" s="21"/>
      <c r="J23" s="21"/>
      <c r="K23" s="21"/>
      <c r="L23" s="21"/>
      <c r="M23" s="21"/>
      <c r="N23" s="21"/>
      <c r="O23" s="21"/>
      <c r="P23" s="21"/>
      <c r="Q23" s="21"/>
      <c r="R23" s="21"/>
      <c r="S23" s="21"/>
      <c r="T23" s="21"/>
      <c r="U23" s="21"/>
      <c r="V23" s="21"/>
      <c r="W23" s="21"/>
      <c r="X23" s="21"/>
      <c r="Y23" s="21"/>
      <c r="Z23" s="21"/>
    </row>
    <row r="24" spans="1:26" ht="15">
      <c r="A24" s="39" t="s">
        <v>58</v>
      </c>
      <c r="B24" s="39"/>
      <c r="C24" s="39"/>
      <c r="D24" s="39"/>
      <c r="E24" s="39"/>
      <c r="F24" s="39"/>
      <c r="G24" s="39"/>
      <c r="H24" s="21"/>
      <c r="I24" s="21"/>
      <c r="J24" s="21"/>
      <c r="K24" s="21"/>
      <c r="L24" s="21"/>
      <c r="M24" s="21"/>
      <c r="N24" s="21"/>
      <c r="O24" s="21"/>
      <c r="P24" s="21"/>
      <c r="Q24" s="21"/>
      <c r="R24" s="21"/>
      <c r="S24" s="21"/>
      <c r="T24" s="21"/>
      <c r="U24" s="21"/>
      <c r="V24" s="21"/>
      <c r="W24" s="21"/>
      <c r="X24" s="21"/>
      <c r="Y24" s="21"/>
      <c r="Z24" s="21"/>
    </row>
    <row r="25" spans="1:26">
      <c r="A25" s="40" t="s">
        <v>59</v>
      </c>
      <c r="B25" s="40"/>
      <c r="C25" s="40"/>
      <c r="D25" s="40"/>
      <c r="E25" s="40"/>
      <c r="F25" s="40"/>
      <c r="G25" s="40"/>
      <c r="H25" s="21"/>
      <c r="I25" s="21"/>
      <c r="J25" s="21"/>
      <c r="K25" s="21"/>
      <c r="L25" s="21"/>
      <c r="M25" s="21"/>
      <c r="N25" s="21"/>
      <c r="O25" s="21"/>
      <c r="P25" s="21"/>
      <c r="Q25" s="21"/>
      <c r="R25" s="21"/>
      <c r="S25" s="21"/>
      <c r="T25" s="21"/>
      <c r="U25" s="21"/>
      <c r="V25" s="21"/>
      <c r="W25" s="21"/>
      <c r="X25" s="21"/>
      <c r="Y25" s="21"/>
      <c r="Z25" s="21"/>
    </row>
    <row r="26" spans="1:26">
      <c r="A26" s="40"/>
      <c r="B26" s="40"/>
      <c r="C26" s="40"/>
      <c r="D26" s="40"/>
      <c r="E26" s="40"/>
      <c r="F26" s="40"/>
      <c r="G26" s="40"/>
      <c r="H26" s="21"/>
      <c r="I26" s="21"/>
      <c r="J26" s="21"/>
      <c r="K26" s="21"/>
      <c r="L26" s="21"/>
      <c r="M26" s="21"/>
      <c r="N26" s="21"/>
      <c r="O26" s="21"/>
      <c r="P26" s="21"/>
      <c r="Q26" s="21"/>
      <c r="R26" s="21"/>
      <c r="S26" s="21"/>
      <c r="T26" s="21"/>
      <c r="U26" s="21"/>
      <c r="V26" s="21"/>
      <c r="W26" s="21"/>
      <c r="X26" s="21"/>
      <c r="Y26" s="21"/>
      <c r="Z26" s="21"/>
    </row>
    <row r="27" spans="1:26">
      <c r="A27" s="40"/>
      <c r="B27" s="40"/>
      <c r="C27" s="40"/>
      <c r="D27" s="40"/>
      <c r="E27" s="40"/>
      <c r="F27" s="40"/>
      <c r="G27" s="40"/>
      <c r="H27" s="21"/>
      <c r="I27" s="21"/>
      <c r="J27" s="21"/>
      <c r="K27" s="21"/>
      <c r="L27" s="21"/>
      <c r="M27" s="21"/>
      <c r="N27" s="21"/>
      <c r="O27" s="21"/>
      <c r="P27" s="21"/>
      <c r="Q27" s="21"/>
      <c r="R27" s="21"/>
      <c r="S27" s="21"/>
      <c r="T27" s="21"/>
      <c r="U27" s="21"/>
      <c r="V27" s="21"/>
      <c r="W27" s="21"/>
      <c r="X27" s="21"/>
      <c r="Y27" s="21"/>
      <c r="Z27" s="21"/>
    </row>
    <row r="28" spans="1:26">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sheetData>
  <mergeCells count="4">
    <mergeCell ref="A1:H1"/>
    <mergeCell ref="A2:H2"/>
    <mergeCell ref="A24:G24"/>
    <mergeCell ref="A25:G27"/>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ASIS_Detalle</vt:lpstr>
      <vt:lpstr>Resumen_ASIS</vt:lpstr>
      <vt:lpstr>Comparacion_TOBE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Fabián Chikinta</cp:lastModifiedBy>
  <dcterms:modified xsi:type="dcterms:W3CDTF">2026-09-23T01:18:33Z</dcterms:modified>
</cp:coreProperties>
</file>